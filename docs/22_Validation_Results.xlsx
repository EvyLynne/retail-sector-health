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40" yWindow="3620" windowWidth="34800" windowHeight="18440" tabRatio="600" firstSheet="0" activeTab="0" autoFilterDateGrouping="1"/>
  </bookViews>
  <sheets>
    <sheet xmlns:r="http://schemas.openxmlformats.org/officeDocument/2006/relationships" name="How to Use" sheetId="1" state="visible" r:id="rId1"/>
    <sheet xmlns:r="http://schemas.openxmlformats.org/officeDocument/2006/relationships" name="Worked Example" sheetId="2" state="visible" r:id="rId2"/>
    <sheet xmlns:r="http://schemas.openxmlformats.org/officeDocument/2006/relationships" name="Run Summary" sheetId="3" state="visible" r:id="rId3"/>
    <sheet xmlns:r="http://schemas.openxmlformats.org/officeDocument/2006/relationships" name="Check Results" sheetId="4" state="visible" r:id="rId4"/>
    <sheet xmlns:r="http://schemas.openxmlformats.org/officeDocument/2006/relationships" name="Check Catalog" sheetId="5" state="visible" r:id="rId5"/>
    <sheet xmlns:r="http://schemas.openxmlformats.org/officeDocument/2006/relationships" name="Failure Log" sheetId="6" state="visible" r:id="rId6"/>
  </sheets>
  <definedNames>
    <definedName name="_xlnm._FilterDatabase" localSheetId="2" hidden="1">'Run Summary'!$A$4:$M$60</definedName>
    <definedName name="_xlnm.Print_Titles" localSheetId="2">'Run Summary'!$1:$4</definedName>
    <definedName name="_xlnm._FilterDatabase" localSheetId="3" hidden="1">'Check Results'!$A$4:$J$600</definedName>
    <definedName name="_xlnm.Print_Titles" localSheetId="3">'Check Results'!$1:$4</definedName>
    <definedName name="_xlnm._FilterDatabase" localSheetId="4" hidden="1">'Check Catalog'!$A$4:$I$21</definedName>
    <definedName name="_xlnm.Print_Titles" localSheetId="4">'Check Catalog'!$1:$4</definedName>
    <definedName name="_xlnm._FilterDatabase" localSheetId="5" hidden="1">'Failure Log'!$A$4:$J$200</definedName>
    <definedName name="_xlnm.Print_Titles" localSheetId="5">'Failure Log'!$1:$4</definedName>
  </definedNames>
  <calcPr calcId="191029" fullCalcOnLoad="1" iterateDelta="0.0001"/>
</workbook>
</file>

<file path=xl/styles.xml><?xml version="1.0" encoding="utf-8"?>
<styleSheet xmlns="http://schemas.openxmlformats.org/spreadsheetml/2006/main">
  <numFmts count="1">
    <numFmt numFmtId="164" formatCode="yyyy\-mm\-dd"/>
  </numFmts>
  <fonts count="25">
    <font>
      <name val="Calibri"/>
      <family val="2"/>
      <color theme="1"/>
      <sz val="11"/>
      <scheme val="minor"/>
    </font>
    <font>
      <name val="Times New Roman"/>
      <b val="1"/>
      <color rgb="FF1F3864"/>
      <sz val="16"/>
    </font>
    <font>
      <name val="Times New Roman"/>
      <i val="1"/>
      <color rgb="FF595959"/>
      <sz val="10.5"/>
    </font>
    <font>
      <name val="Times New Roman"/>
      <b val="1"/>
      <color rgb="FFFFFFFF"/>
      <sz val="11.5"/>
    </font>
    <font>
      <name val="Times New Roman"/>
      <b val="1"/>
      <color rgb="FF1F3864"/>
      <sz val="10.5"/>
    </font>
    <font>
      <name val="Times New Roman"/>
      <color rgb="FF404040"/>
      <sz val="10"/>
    </font>
    <font>
      <name val="Times New Roman"/>
      <b val="1"/>
      <color rgb="FF0563C1"/>
      <sz val="10.5"/>
      <u val="single"/>
    </font>
    <font>
      <name val="Times New Roman"/>
      <b val="1"/>
      <color rgb="FF1B9E8F"/>
      <sz val="10.5"/>
    </font>
    <font>
      <name val="Times New Roman"/>
      <color rgb="FF404040"/>
      <sz val="10.5"/>
    </font>
    <font>
      <name val="Times New Roman"/>
      <i val="1"/>
      <color rgb="FF808080"/>
      <sz val="10"/>
    </font>
    <font>
      <name val="Times New Roman"/>
      <b val="1"/>
      <color rgb="FF1F3864"/>
      <sz val="15"/>
    </font>
    <font>
      <name val="Times New Roman"/>
      <i val="1"/>
      <color rgb="FF595959"/>
      <sz val="10"/>
    </font>
    <font>
      <name val="Times New Roman"/>
      <b val="1"/>
      <color rgb="FFFFFFFF"/>
      <sz val="11"/>
    </font>
    <font>
      <name val="Times New Roman"/>
      <b val="1"/>
      <color rgb="FF1F3864"/>
      <sz val="10"/>
    </font>
    <font>
      <name val="Times New Roman"/>
      <b val="1"/>
      <color rgb="FF404040"/>
      <sz val="10"/>
    </font>
    <font>
      <name val="Times New Roman"/>
      <color rgb="FF404040"/>
      <sz val="9.5"/>
    </font>
    <font>
      <name val="Times New Roman"/>
      <b val="1"/>
      <color rgb="FFB01C1C"/>
      <sz val="10"/>
    </font>
    <font>
      <name val="Times New Roman"/>
      <color rgb="FF808080"/>
      <sz val="10"/>
    </font>
    <font>
      <name val="Times New Roman"/>
      <b val="1"/>
      <color rgb="FF1B9E8F"/>
      <sz val="10"/>
    </font>
    <font>
      <name val="Calibri"/>
      <family val="2"/>
      <b val="1"/>
      <color theme="1"/>
      <sz val="11"/>
      <scheme val="minor"/>
    </font>
    <font>
      <name val="Calibri"/>
      <family val="2"/>
      <i val="1"/>
      <color theme="1"/>
      <sz val="11"/>
      <scheme val="minor"/>
    </font>
    <font>
      <name val="Arial Unicode MS"/>
      <color theme="1"/>
      <sz val="10"/>
    </font>
    <font>
      <name val="Consolas"/>
      <color rgb="FF404040"/>
      <sz val="9.5"/>
    </font>
    <font>
      <name val="Times New Roman"/>
      <i val="1"/>
      <color rgb="FFB01C1C"/>
      <sz val="10"/>
    </font>
    <font>
      <name val="Times New Roman"/>
      <color rgb="FF0563C1"/>
      <sz val="10"/>
      <u val="single"/>
    </font>
  </fonts>
  <fills count="5">
    <fill>
      <patternFill/>
    </fill>
    <fill>
      <patternFill patternType="gray125"/>
    </fill>
    <fill>
      <patternFill patternType="solid">
        <fgColor rgb="FF1F3864"/>
      </patternFill>
    </fill>
    <fill>
      <patternFill patternType="solid">
        <fgColor rgb="FFF2F2F2"/>
      </patternFill>
    </fill>
    <fill>
      <patternFill patternType="solid">
        <fgColor rgb="FFEAF1F8"/>
      </patternFill>
    </fill>
  </fills>
  <borders count="4">
    <border>
      <left/>
      <right/>
      <top/>
      <bottom/>
      <diagonal/>
    </border>
    <border>
      <left/>
      <right/>
      <top/>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s>
  <cellStyleXfs count="1">
    <xf numFmtId="0" fontId="0" fillId="0" borderId="1"/>
  </cellStyleXfs>
  <cellXfs count="67">
    <xf numFmtId="0" fontId="0" fillId="0" borderId="0" pivotButton="0" quotePrefix="0" xfId="0"/>
    <xf numFmtId="0" fontId="4" fillId="0" borderId="1" applyAlignment="1" pivotButton="0" quotePrefix="0" xfId="0">
      <alignment vertical="top" wrapText="1"/>
    </xf>
    <xf numFmtId="0" fontId="5" fillId="0" borderId="1" applyAlignment="1" pivotButton="0" quotePrefix="0" xfId="0">
      <alignment vertical="top" wrapText="1"/>
    </xf>
    <xf numFmtId="0" fontId="6" fillId="0" borderId="2" applyAlignment="1" pivotButton="0" quotePrefix="0" xfId="0">
      <alignment vertical="top" wrapText="1"/>
    </xf>
    <xf numFmtId="0" fontId="5" fillId="0" borderId="2" applyAlignment="1" pivotButton="0" quotePrefix="0" xfId="0">
      <alignment vertical="top" wrapText="1"/>
    </xf>
    <xf numFmtId="0" fontId="7"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horizontal="right" vertical="top"/>
    </xf>
    <xf numFmtId="0" fontId="12" fillId="2" borderId="3" applyAlignment="1" pivotButton="0" quotePrefix="0" xfId="0">
      <alignment horizontal="left" vertical="center" wrapText="1"/>
    </xf>
    <xf numFmtId="0" fontId="13" fillId="0" borderId="3" applyAlignment="1" pivotButton="0" quotePrefix="0" xfId="0">
      <alignment horizontal="left" vertical="top" wrapText="1"/>
    </xf>
    <xf numFmtId="164" fontId="5" fillId="0" borderId="3" applyAlignment="1" pivotButton="0" quotePrefix="0" xfId="0">
      <alignment horizontal="center" vertical="top" wrapText="1"/>
    </xf>
    <xf numFmtId="0" fontId="5" fillId="0" borderId="3" applyAlignment="1" pivotButton="0" quotePrefix="0" xfId="0">
      <alignment vertical="top" wrapText="1"/>
    </xf>
    <xf numFmtId="0" fontId="5" fillId="0" borderId="3" applyAlignment="1" pivotButton="0" quotePrefix="0" xfId="0">
      <alignment horizontal="center" vertical="center" wrapText="1"/>
    </xf>
    <xf numFmtId="0" fontId="14" fillId="0" borderId="3" applyAlignment="1" pivotButton="0" quotePrefix="0" xfId="0">
      <alignment horizontal="center" vertical="center" wrapText="1"/>
    </xf>
    <xf numFmtId="9" fontId="5" fillId="0" borderId="3" applyAlignment="1" pivotButton="0" quotePrefix="0" xfId="0">
      <alignment horizontal="center" vertical="center" wrapText="1"/>
    </xf>
    <xf numFmtId="0" fontId="14" fillId="0" borderId="3" applyAlignment="1" pivotButton="0" quotePrefix="0" xfId="0">
      <alignment horizontal="left" vertical="center" wrapText="1"/>
    </xf>
    <xf numFmtId="0" fontId="15" fillId="0" borderId="3" applyAlignment="1" pivotButton="0" quotePrefix="0" xfId="0">
      <alignment vertical="top" wrapText="1"/>
    </xf>
    <xf numFmtId="0" fontId="13" fillId="3" borderId="3" applyAlignment="1" pivotButton="0" quotePrefix="0" xfId="0">
      <alignment horizontal="left" vertical="top" wrapText="1"/>
    </xf>
    <xf numFmtId="164" fontId="5" fillId="3" borderId="3" applyAlignment="1" pivotButton="0" quotePrefix="0" xfId="0">
      <alignment horizontal="center" vertical="top" wrapText="1"/>
    </xf>
    <xf numFmtId="0" fontId="5" fillId="3" borderId="3" applyAlignment="1" pivotButton="0" quotePrefix="0" xfId="0">
      <alignment vertical="top" wrapText="1"/>
    </xf>
    <xf numFmtId="0" fontId="5" fillId="3" borderId="3" applyAlignment="1" pivotButton="0" quotePrefix="0" xfId="0">
      <alignment horizontal="center" vertical="center" wrapText="1"/>
    </xf>
    <xf numFmtId="0" fontId="14" fillId="3" borderId="3" applyAlignment="1" pivotButton="0" quotePrefix="0" xfId="0">
      <alignment horizontal="center" vertical="center" wrapText="1"/>
    </xf>
    <xf numFmtId="9" fontId="5" fillId="3" borderId="3" applyAlignment="1" pivotButton="0" quotePrefix="0" xfId="0">
      <alignment horizontal="center" vertical="center" wrapText="1"/>
    </xf>
    <xf numFmtId="0" fontId="14" fillId="3" borderId="3" applyAlignment="1" pivotButton="0" quotePrefix="0" xfId="0">
      <alignment horizontal="left" vertical="center" wrapText="1"/>
    </xf>
    <xf numFmtId="0" fontId="15" fillId="3" borderId="3" applyAlignment="1" pivotButton="0" quotePrefix="0" xfId="0">
      <alignment vertical="top" wrapText="1"/>
    </xf>
    <xf numFmtId="0" fontId="13" fillId="0" borderId="3" applyAlignment="1" pivotButton="0" quotePrefix="0" xfId="0">
      <alignment vertical="top" wrapText="1"/>
    </xf>
    <xf numFmtId="0" fontId="16" fillId="0" borderId="3" applyAlignment="1" pivotButton="0" quotePrefix="0" xfId="0">
      <alignment horizontal="center" vertical="center" wrapText="1"/>
    </xf>
    <xf numFmtId="164" fontId="5" fillId="0" borderId="3" applyAlignment="1" pivotButton="0" quotePrefix="0" xfId="0">
      <alignment horizontal="center" vertical="center" wrapText="1"/>
    </xf>
    <xf numFmtId="0" fontId="13" fillId="3" borderId="3" applyAlignment="1" pivotButton="0" quotePrefix="0" xfId="0">
      <alignment vertical="top" wrapText="1"/>
    </xf>
    <xf numFmtId="0" fontId="16" fillId="3" borderId="3" applyAlignment="1" pivotButton="0" quotePrefix="0" xfId="0">
      <alignment horizontal="center" vertical="center" wrapText="1"/>
    </xf>
    <xf numFmtId="164" fontId="5" fillId="3" borderId="3" applyAlignment="1" pivotButton="0" quotePrefix="0" xfId="0">
      <alignment horizontal="center" vertical="center" wrapText="1"/>
    </xf>
    <xf numFmtId="0" fontId="17" fillId="0" borderId="3" applyAlignment="1" pivotButton="0" quotePrefix="0" xfId="0">
      <alignment horizontal="center" vertical="center" wrapText="1"/>
    </xf>
    <xf numFmtId="0" fontId="17" fillId="3" borderId="3" applyAlignment="1" pivotButton="0" quotePrefix="0" xfId="0">
      <alignment horizontal="center" vertical="center" wrapText="1"/>
    </xf>
    <xf numFmtId="164" fontId="5" fillId="3" borderId="3" applyAlignment="1" pivotButton="0" quotePrefix="0" xfId="0">
      <alignment vertical="top" wrapText="1"/>
    </xf>
    <xf numFmtId="164" fontId="5" fillId="0" borderId="3" applyAlignment="1" pivotButton="0" quotePrefix="0" xfId="0">
      <alignment vertical="top" wrapText="1"/>
    </xf>
    <xf numFmtId="0" fontId="15" fillId="0" borderId="3" applyAlignment="1" pivotButton="0" quotePrefix="0" xfId="0">
      <alignment horizontal="center" vertical="center" wrapText="1"/>
    </xf>
    <xf numFmtId="0" fontId="18" fillId="0" borderId="3" applyAlignment="1" pivotButton="0" quotePrefix="0" xfId="0">
      <alignment horizontal="center" vertical="center" wrapText="1"/>
    </xf>
    <xf numFmtId="0" fontId="15" fillId="3" borderId="3" applyAlignment="1" pivotButton="0" quotePrefix="0" xfId="0">
      <alignment horizontal="center" vertical="center" wrapText="1"/>
    </xf>
    <xf numFmtId="0" fontId="18" fillId="3" borderId="3" applyAlignment="1" pivotButton="0" quotePrefix="0" xfId="0">
      <alignment horizontal="center" vertical="center" wrapText="1"/>
    </xf>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8" fillId="0" borderId="0" applyAlignment="1" pivotButton="0" quotePrefix="0" xfId="0">
      <alignment vertical="top" wrapText="1"/>
    </xf>
    <xf numFmtId="0" fontId="0" fillId="0" borderId="0" pivotButton="0" quotePrefix="0" xfId="0"/>
    <xf numFmtId="0" fontId="3" fillId="2" borderId="0" applyAlignment="1" pivotButton="0" quotePrefix="0" xfId="0">
      <alignment horizontal="left" vertical="center" indent="1"/>
    </xf>
    <xf numFmtId="0" fontId="2" fillId="0" borderId="0" applyAlignment="1" pivotButton="0" quotePrefix="0" xfId="0">
      <alignment vertical="center" wrapText="1"/>
    </xf>
    <xf numFmtId="0" fontId="9" fillId="0" borderId="0" applyAlignment="1" pivotButton="0" quotePrefix="0" xfId="0">
      <alignment vertical="top" wrapText="1"/>
    </xf>
    <xf numFmtId="0" fontId="1" fillId="0" borderId="0" pivotButton="0" quotePrefix="0" xfId="0"/>
    <xf numFmtId="0" fontId="11" fillId="0" borderId="0" applyAlignment="1" pivotButton="0" quotePrefix="0" xfId="0">
      <alignment vertical="center" wrapText="1"/>
    </xf>
    <xf numFmtId="0" fontId="10" fillId="0" borderId="0" pivotButton="0" quotePrefix="0" xfId="0"/>
    <xf numFmtId="0" fontId="19" fillId="0" borderId="0" applyAlignment="1" pivotButton="0" quotePrefix="0" xfId="0">
      <alignment horizontal="left" vertical="center" indent="1"/>
    </xf>
    <xf numFmtId="0" fontId="1" fillId="0" borderId="1" pivotButton="0" quotePrefix="0" xfId="0"/>
    <xf numFmtId="0" fontId="2" fillId="0" borderId="1" applyAlignment="1" pivotButton="0" quotePrefix="0" xfId="0">
      <alignment vertical="center" wrapText="1"/>
    </xf>
    <xf numFmtId="0" fontId="3" fillId="2" borderId="1" applyAlignment="1" pivotButton="0" quotePrefix="0" xfId="0">
      <alignment horizontal="left" vertical="center" indent="1"/>
    </xf>
    <xf numFmtId="0" fontId="8" fillId="0" borderId="1" applyAlignment="1" pivotButton="0" quotePrefix="0" xfId="0">
      <alignment vertical="top" wrapText="1"/>
    </xf>
    <xf numFmtId="0" fontId="9" fillId="0" borderId="1"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indent="1"/>
    </xf>
    <xf numFmtId="0" fontId="4" fillId="0" borderId="0" applyAlignment="1" pivotButton="0" quotePrefix="0" xfId="0">
      <alignment vertical="top" wrapText="1"/>
    </xf>
    <xf numFmtId="0" fontId="6" fillId="0" borderId="0" applyAlignment="1" pivotButton="0" quotePrefix="0" xfId="0">
      <alignment vertical="top" wrapText="1"/>
    </xf>
    <xf numFmtId="0" fontId="22" fillId="3" borderId="1" applyAlignment="1" pivotButton="0" quotePrefix="0" xfId="0">
      <alignment vertical="center" indent="1"/>
    </xf>
    <xf numFmtId="0" fontId="23" fillId="4" borderId="1" applyAlignment="1" pivotButton="0" quotePrefix="0" xfId="0">
      <alignment vertical="top" wrapText="1"/>
    </xf>
    <xf numFmtId="0" fontId="10" fillId="0" borderId="1" pivotButton="0" quotePrefix="0" xfId="0"/>
    <xf numFmtId="0" fontId="11" fillId="0" borderId="1" applyAlignment="1" pivotButton="0" quotePrefix="0" xfId="0">
      <alignment vertical="center" wrapText="1"/>
    </xf>
    <xf numFmtId="0" fontId="24" fillId="0" borderId="3" applyAlignment="1" pivotButton="0" quotePrefix="0" xfId="0">
      <alignment horizontal="left" vertical="center" wrapText="1"/>
    </xf>
    <xf numFmtId="0" fontId="24" fillId="3" borderId="3" applyAlignment="1" pivotButton="0" quotePrefix="0" xfId="0">
      <alignment horizontal="left" vertical="center" wrapText="1"/>
    </xf>
    <xf numFmtId="0" fontId="0" fillId="0" borderId="1" pivotButton="0" quotePrefix="0" xfId="0"/>
  </cellXfs>
  <cellStyles count="1">
    <cellStyle name="Normal" xfId="0" builtinId="0"/>
  </cellStyles>
  <dxfs count="12">
    <dxf>
      <font>
        <name val="Times New Roman"/>
        <color rgb="FFC8860A"/>
        <sz val="10"/>
      </font>
      <fill>
        <patternFill patternType="solid">
          <fgColor rgb="FFFBE3C8"/>
        </patternFill>
      </fill>
    </dxf>
    <dxf>
      <font>
        <name val="Times New Roman"/>
        <b val="1"/>
        <color rgb="FFB01C1C"/>
        <sz val="10"/>
      </font>
      <fill>
        <patternFill patternType="solid">
          <fgColor rgb="FFF7D4D4"/>
        </patternFill>
      </fill>
    </dxf>
    <dxf>
      <font>
        <name val="Times New Roman"/>
        <b val="1"/>
        <color rgb="FF1E7B34"/>
        <sz val="10"/>
      </font>
      <fill>
        <patternFill patternType="solid">
          <fgColor rgb="FFD6EFD9"/>
        </patternFill>
      </fill>
    </dxf>
    <dxf>
      <font>
        <name val="Times New Roman"/>
        <color rgb="FFC8860A"/>
        <sz val="10"/>
      </font>
      <fill>
        <patternFill patternType="solid">
          <fgColor rgb="FFFBE3C8"/>
        </patternFill>
      </fill>
    </dxf>
    <dxf>
      <font>
        <name val="Times New Roman"/>
        <color rgb="FF808080"/>
        <sz val="10"/>
      </font>
      <fill>
        <patternFill patternType="solid">
          <fgColor rgb="FFEDEDED"/>
        </patternFill>
      </fill>
    </dxf>
    <dxf>
      <font>
        <name val="Times New Roman"/>
        <b val="1"/>
        <color rgb="FFB01C1C"/>
        <sz val="10"/>
      </font>
      <fill>
        <patternFill patternType="solid">
          <fgColor rgb="FFF7D4D4"/>
        </patternFill>
      </fill>
    </dxf>
    <dxf>
      <font>
        <name val="Times New Roman"/>
        <b val="1"/>
        <color rgb="FF1E7B34"/>
        <sz val="10"/>
      </font>
      <fill>
        <patternFill patternType="solid">
          <fgColor rgb="FFD6EFD9"/>
        </patternFill>
      </fill>
    </dxf>
    <dxf>
      <font>
        <name val="Times New Roman"/>
        <b val="1"/>
        <color rgb="FFC8860A"/>
        <sz val="10"/>
      </font>
      <fill>
        <patternFill patternType="solid">
          <fgColor rgb="FFFBE3C8"/>
        </patternFill>
      </fill>
    </dxf>
    <dxf>
      <font>
        <name val="Times New Roman"/>
        <color rgb="FFC8860A"/>
        <sz val="10"/>
      </font>
      <fill>
        <patternFill patternType="solid">
          <fgColor rgb="FFFBE3C8"/>
        </patternFill>
      </fill>
    </dxf>
    <dxf>
      <font>
        <name val="Times New Roman"/>
        <b val="1"/>
        <color rgb="FFB01C1C"/>
        <sz val="10"/>
      </font>
      <fill>
        <patternFill patternType="solid">
          <fgColor rgb="FFF7D4D4"/>
        </patternFill>
      </fill>
    </dxf>
    <dxf>
      <font>
        <name val="Times New Roman"/>
        <b val="1"/>
        <color rgb="FF1E7B34"/>
        <sz val="10"/>
      </font>
      <fill>
        <patternFill patternType="solid">
          <fgColor rgb="FFD6EFD9"/>
        </patternFill>
      </fill>
    </dxf>
    <dxf>
      <font>
        <name val="Times New Roman"/>
        <b val="1"/>
        <color rgb="FFB01C1C"/>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ck Catalog'!A1" TargetMode="External" Id="rId1"/><Relationship Type="http://schemas.openxmlformats.org/officeDocument/2006/relationships/hyperlink" Target="#'Run Summary'!A1" TargetMode="External" Id="rId2"/><Relationship Type="http://schemas.openxmlformats.org/officeDocument/2006/relationships/hyperlink" Target="#'Check Results'!A1" TargetMode="External" Id="rId3"/><Relationship Type="http://schemas.openxmlformats.org/officeDocument/2006/relationships/hyperlink" Target="#'Failure Log'!A1" TargetMode="External" Id="rId4"/></Relationships>
</file>

<file path=xl/worksheets/_rels/sheet5.xml.rels><Relationships xmlns="http://schemas.openxmlformats.org/package/2006/relationships"><Relationship Type="http://schemas.openxmlformats.org/officeDocument/2006/relationships/hyperlink" Target="validation/V01_Staged_vs_Loaded_Rows.docx" TargetMode="External" Id="rId1"/><Relationship Type="http://schemas.openxmlformats.org/officeDocument/2006/relationships/hyperlink" Target="validation/V02_Sector_Month_Coverage.docx" TargetMode="External" Id="rId2"/><Relationship Type="http://schemas.openxmlformats.org/officeDocument/2006/relationships/hyperlink" Target="validation/V03_Aggregate_Reconciliation.docx" TargetMode="External" Id="rId3"/><Relationship Type="http://schemas.openxmlformats.org/officeDocument/2006/relationships/hyperlink" Target="validation/V04_Census_vs_FRED_Cross_Check.docx" TargetMode="External" Id="rId4"/><Relationship Type="http://schemas.openxmlformats.org/officeDocument/2006/relationships/hyperlink" Target="validation/V05_Referential_Integrity.docx" TargetMode="External" Id="rId5"/><Relationship Type="http://schemas.openxmlformats.org/officeDocument/2006/relationships/hyperlink" Target="validation/V06_Date_Relationship_Integrity.docx" TargetMode="External" Id="rId6"/><Relationship Type="http://schemas.openxmlformats.org/officeDocument/2006/relationships/hyperlink" Target="validation/V07_Measure_Unit_Consistency.docx" TargetMode="External" Id="rId7"/><Relationship Type="http://schemas.openxmlformats.org/officeDocument/2006/relationships/hyperlink" Target="validation/V08_Cases_vs_Dollars_Separation.docx" TargetMode="External" Id="rId8"/><Relationship Type="http://schemas.openxmlformats.org/officeDocument/2006/relationships/hyperlink" Target="validation/V09_Channel_Baseline_Integrity.docx" TargetMode="External" Id="rId9"/><Relationship Type="http://schemas.openxmlformats.org/officeDocument/2006/relationships/hyperlink" Target="validation/V10_Channel_Story_National_Counterpart.docx" TargetMode="External" Id="rId10"/><Relationship Type="http://schemas.openxmlformats.org/officeDocument/2006/relationships/hyperlink" Target="validation/V11_Negative_Value_Handling.docx" TargetMode="External" Id="rId11"/><Relationship Type="http://schemas.openxmlformats.org/officeDocument/2006/relationships/hyperlink" Target="validation/V12_Lifecycle_Columns_Current.docx" TargetMode="External" Id="rId12"/><Relationship Type="http://schemas.openxmlformats.org/officeDocument/2006/relationships/hyperlink" Target="validation/V13_Cohort_Census.docx" TargetMode="External" Id="rId13"/><Relationship Type="http://schemas.openxmlformats.org/officeDocument/2006/relationships/hyperlink" Target="validation/V14_Pareto_Accumulation.docx" TargetMode="External" Id="rId14"/><Relationship Type="http://schemas.openxmlformats.org/officeDocument/2006/relationships/hyperlink" Target="validation/V15_Coefficients_Carry_Their_Sample.docx" TargetMode="External" Id="rId15"/><Relationship Type="http://schemas.openxmlformats.org/officeDocument/2006/relationships/hyperlink" Target="validation/V16_Left_Censored_Cohort_Labelled.docx" TargetMode="External" Id="rId16"/><Relationship Type="http://schemas.openxmlformats.org/officeDocument/2006/relationships/hyperlink" Target="validation/V17_Report_to_Model_Binding.docx" TargetMode="External" Id="rId17"/></Relationships>
</file>

<file path=xl/worksheets/sheet1.xml><?xml version="1.0" encoding="utf-8"?>
<worksheet xmlns="http://schemas.openxmlformats.org/spreadsheetml/2006/main">
  <sheetPr>
    <tabColor rgb="FF1F3864"/>
    <outlinePr summaryBelow="1" summaryRight="1"/>
    <pageSetUpPr fitToPage="1"/>
  </sheetPr>
  <dimension ref="A1:C55"/>
  <sheetViews>
    <sheetView showGridLines="0" tabSelected="1" workbookViewId="0">
      <pane ySplit="3" topLeftCell="A4" activePane="bottomLeft" state="frozen"/>
      <selection pane="bottomLeft" activeCell="A1" sqref="A1"/>
    </sheetView>
  </sheetViews>
  <sheetFormatPr baseColWidth="8" defaultRowHeight="14.5"/>
  <cols>
    <col width="4" customWidth="1" style="42" min="1" max="1"/>
    <col width="28" customWidth="1" style="42" min="2" max="2"/>
    <col width="92" customWidth="1" style="42" min="3" max="3"/>
  </cols>
  <sheetData>
    <row r="1" ht="26" customHeight="1" s="42">
      <c r="A1" s="50" t="inlineStr">
        <is>
          <t>Document 22 — Validation and QA Results</t>
        </is>
      </c>
    </row>
    <row r="2" ht="46" customHeight="1" s="42">
      <c r="A2" s="51" t="inlineStr">
        <is>
          <t>How to use this workbook. It is the record of the seventeen pre-publication checks defined in document 02 §9, run once before publishing and again after every fact-table reload. It replaces the docs/validation_results.md that documents 02 §9 and 21 Phase 6 used to point at. Recording a run here is Phase 6 of the development checklist, document 21.</t>
        </is>
      </c>
    </row>
    <row r="3"/>
    <row r="4" ht="22" customHeight="1" s="42">
      <c r="A4" s="52" t="inlineStr">
        <is>
          <t>THE FOUR TABS</t>
        </is>
      </c>
    </row>
    <row r="5"/>
    <row r="6" ht="18" customHeight="1" s="42">
      <c r="B6" s="1" t="inlineStr">
        <is>
          <t>Tab</t>
        </is>
      </c>
      <c r="C6" s="2" t="inlineStr">
        <is>
          <t>What it is for</t>
        </is>
      </c>
    </row>
    <row r="7" ht="46" customHeight="1" s="42">
      <c r="B7" s="3" t="inlineStr">
        <is>
          <t>Check Catalog</t>
        </is>
      </c>
      <c r="C7" s="4" t="inlineStr">
        <is>
          <t>Reference. The seventeen checks, each with the pass criterion, what it protects against, where it runs, how to run it, its severity, and whether it has to be repeated after a fact-table reload. You read this tab; you do not fill it in.</t>
        </is>
      </c>
    </row>
    <row r="8" ht="34" customHeight="1" s="42">
      <c r="B8" s="3" t="inlineStr">
        <is>
          <t>Check Results</t>
        </is>
      </c>
      <c r="C8" s="4" t="inlineStr">
        <is>
          <t>The working sheet. One row per check, per run. This is the only tab that needs typing during a run. Run 1's seventeen rows are already there.</t>
        </is>
      </c>
    </row>
    <row r="9" ht="34" customHeight="1" s="42">
      <c r="B9" s="3" t="inlineStr">
        <is>
          <t>Run Summary</t>
        </is>
      </c>
      <c r="C9" s="4" t="inlineStr">
        <is>
          <t>One row per run. You type five cells; the eight columns from Checks recorded to Outcome are formulas that read Check Results.</t>
        </is>
      </c>
    </row>
    <row r="10" ht="34" customHeight="1" s="42">
      <c r="B10" s="3" t="inlineStr">
        <is>
          <t>Failure Log</t>
        </is>
      </c>
      <c r="C10" s="4" t="inlineStr">
        <is>
          <t>One row for every check recorded as Fail: what was seen, why, what was done, and the run that re-verified it. Status is a formula.</t>
        </is>
      </c>
    </row>
    <row r="11" ht="22" customHeight="1" s="42">
      <c r="A11" s="52" t="inlineStr">
        <is>
          <t>RECORDING A RUN</t>
        </is>
      </c>
    </row>
    <row r="12"/>
    <row r="13" ht="30" customHeight="1" s="42">
      <c r="A13" s="5" t="n">
        <v>1</v>
      </c>
      <c r="B13" s="53" t="inlineStr">
        <is>
          <t>On Run Summary, fill in the row for this run: Run ID, Date, Trigger (dropdown), the model or commit reference the run was made against, and Run by. Leave everything from Checks recorded rightwards alone.</t>
        </is>
      </c>
    </row>
    <row r="14" ht="30" customHeight="1" s="42">
      <c r="A14" s="5" t="n">
        <v>2</v>
      </c>
      <c r="B14" s="53" t="inlineStr">
        <is>
          <t>Open Check Catalog and work down the seventeen in order. Each row tells you where the check runs and the exact query, visual or pane to look at. If you have not run a check before, open its procedure in docs/validation/ first — V01 to V17, one per check, every click and query written out.</t>
        </is>
      </c>
    </row>
    <row r="15" ht="43" customHeight="1" s="42">
      <c r="A15" s="5" t="n">
        <v>3</v>
      </c>
      <c r="B15" s="53" t="inlineStr">
        <is>
          <t>For each check, go to Check Results and complete four cells on that check's row: Result (dropdown: Pass, Fail, N/A, Not run), Observed value / evidence, Checked by and Date checked. For checks 7, 8, 15, 16 and 17, also update Reports covered each time a report pass adds a report.</t>
        </is>
      </c>
    </row>
    <row r="16" ht="42" customHeight="1" s="42">
      <c r="A16" s="5" t="n">
        <v>4</v>
      </c>
      <c r="B16" s="53" t="inlineStr">
        <is>
          <t>Put a number in Observed value, not a tick. “330,080 staged / 330,080 loaded” is a record; “looks fine” is not. For a check with no number, name what you inspected — “all 11 R1 visuals, axis labels confirmed Cases”.</t>
        </is>
      </c>
    </row>
    <row r="17" ht="30" customHeight="1" s="42">
      <c r="A17" s="5" t="n">
        <v>5</v>
      </c>
      <c r="B17" s="53" t="inlineStr">
        <is>
          <t>Return to Run Summary. The counts and the Outcome update themselves. The run is finished when Checks recorded reads 17 and Outcome reads PASS.</t>
        </is>
      </c>
    </row>
    <row r="18" ht="22" customHeight="1" s="42">
      <c r="A18" s="52" t="inlineStr">
        <is>
          <t>WHAT THE OUTCOME COLUMN MEANS</t>
        </is>
      </c>
    </row>
    <row r="19"/>
    <row r="20" ht="18" customHeight="1" s="42">
      <c r="B20" s="1" t="inlineStr">
        <is>
          <t>PASS</t>
        </is>
      </c>
      <c r="C20" s="2" t="inlineStr">
        <is>
          <t>All seventeen recorded, no failures. Publishing is clear.</t>
        </is>
      </c>
    </row>
    <row r="21" ht="30" customHeight="1" s="42">
      <c r="B21" s="6" t="inlineStr">
        <is>
          <t>BLOCKED</t>
        </is>
      </c>
      <c r="C21" s="4" t="inlineStr">
        <is>
          <t>At least one check with severity Blocking failed. Do not publish. Log it on Failure Log and fix it before the next run.</t>
        </is>
      </c>
    </row>
    <row r="22" ht="56.5" customHeight="1" s="42">
      <c r="B22" s="6" t="inlineStr">
        <is>
          <t>PASSED WITH FAILURES</t>
        </is>
      </c>
      <c r="C22" s="4" t="inlineStr">
        <is>
          <t>All seventeen recorded and nothing Blocking failed, but an Advisory check did — 3, 10 or 11. Checks 3 and 10 record a finding rather than a pass mark in document 02 §9; check 11 is rated Advisory because a missing explanation is fixed on the report page without touching the data. Publishing is a judgement call, and the Failure Log entry is what makes it a documented one.</t>
        </is>
      </c>
    </row>
    <row r="23" ht="43" customHeight="1" s="42">
      <c r="B23" s="6" t="inlineStr">
        <is>
          <t>INCOMPLETE</t>
        </is>
      </c>
      <c r="C23" s="4" t="inlineStr">
        <is>
          <t>Fewer than seventeen results recorded and nothing Blocking failed; the cell says how many are missing, and how many Advisory checks are failing so far. A partial run is never a pass. After the model pass it reads INCOMPLETE — 5 not recorded, which is the state that permits publishing the model.</t>
        </is>
      </c>
    </row>
    <row r="24" ht="22" customHeight="1" s="42">
      <c r="A24" s="52" t="inlineStr">
        <is>
          <t>STARTING A NEW RUN</t>
        </is>
      </c>
    </row>
    <row r="25"/>
    <row r="26" ht="43" customHeight="1" s="42">
      <c r="B26" s="53" t="inlineStr">
        <is>
          <t>Doc 21 Phase 6 requires the suite to be re-run after any fact-table reload. Twelve of the seventeen are data-dependent — the Check Catalog tab marks which — and those twelve are the required re-run (document 25 §4). The five report checks are re-run only when a report has changed since the last run; otherwise record them as N/A with “no report change since Run n” in Notes.</t>
        </is>
      </c>
    </row>
    <row r="27" ht="30" customHeight="1" s="42">
      <c r="A27" s="5" t="n">
        <v>1</v>
      </c>
      <c r="B27" s="53" t="inlineStr">
        <is>
          <t>On Check Results, select the seventeen rows of the most recent run and copy them.</t>
        </is>
      </c>
    </row>
    <row r="28" ht="30" customHeight="1" s="42">
      <c r="A28" s="5" t="n">
        <v>2</v>
      </c>
      <c r="B28" s="53" t="inlineStr">
        <is>
          <t>Paste them into the first empty row underneath. The formatting, the dropdowns and the conditional colours come with them.</t>
        </is>
      </c>
    </row>
    <row r="29" ht="34" customHeight="1" s="42">
      <c r="A29" s="5" t="n">
        <v>3</v>
      </c>
      <c r="B29" s="53" t="inlineStr">
        <is>
          <t>Change Run ID on all seventeen pasted rows to the new run, then clear Result, Observed value, Checked by and Date. Leave the Check, Pass criterion and Severity columns untouched.</t>
        </is>
      </c>
    </row>
    <row r="30" ht="34" customHeight="1" s="42">
      <c r="A30" s="5" t="n">
        <v>4</v>
      </c>
      <c r="B30" s="53" t="inlineStr">
        <is>
          <t>Add the new run's row on Run Summary. Copy the row above it so the formulas come with it, then change the Run ID — the formulas key on it.</t>
        </is>
      </c>
    </row>
    <row r="31" ht="22" customHeight="1" s="42">
      <c r="A31" s="52" t="inlineStr">
        <is>
          <t>WHEN A CHECK FAILS</t>
        </is>
      </c>
    </row>
    <row r="32"/>
    <row r="33" ht="34" customHeight="1" s="42">
      <c r="A33" s="5" t="n">
        <v>1</v>
      </c>
      <c r="B33" s="53" t="inlineStr">
        <is>
          <t>Record it as Fail on Check Results with the observed value. Do not blank it out and do not change it to N/A — a failure that was fixed is a better record than a failure that was erased.</t>
        </is>
      </c>
    </row>
    <row r="34" ht="30" customHeight="1" s="42">
      <c r="A34" s="5" t="n">
        <v>2</v>
      </c>
      <c r="B34" s="53" t="inlineStr">
        <is>
          <t>Add a row to Failure Log: a Failure ID of your own (F-001, F-002), the Run ID, the check number, what was observed and the root cause.</t>
        </is>
      </c>
    </row>
    <row r="35" ht="30" customHeight="1" s="42">
      <c r="A35" s="5" t="n">
        <v>3</v>
      </c>
      <c r="B35" s="53" t="inlineStr">
        <is>
          <t>Fix it, then fill in Fix applied, Fixed by and Date fixed. Status moves to “Fix applied — not re-verified” on its own.</t>
        </is>
      </c>
    </row>
    <row r="36" ht="34" customHeight="1" s="42">
      <c r="A36" s="5" t="n">
        <v>4</v>
      </c>
      <c r="B36" s="53" t="inlineStr">
        <is>
          <t>Re-run that check in a later run. When it passes, put that run's ID in Re-verified in run. Status becomes “Closed — re-verified”. An open blocking failure is a reason not to publish.</t>
        </is>
      </c>
    </row>
    <row r="37" ht="22" customHeight="1" s="42">
      <c r="A37" s="52" t="inlineStr">
        <is>
          <t>RULES</t>
        </is>
      </c>
    </row>
    <row r="38"/>
    <row r="39" ht="44" customHeight="1" s="42">
      <c r="A39" s="7" t="inlineStr">
        <is>
          <t>•</t>
        </is>
      </c>
      <c r="B39" s="53" t="inlineStr">
        <is>
          <t>Do not reword the Check or Pass criterion columns. They are quoted from document 02 §9. If a check genuinely needs to change, change it in document 02 and on the Check Catalog tab together, never in one place only.</t>
        </is>
      </c>
    </row>
    <row r="40" ht="44" customHeight="1" s="42">
      <c r="A40" s="7" t="inlineStr">
        <is>
          <t>•</t>
        </is>
      </c>
      <c r="B40" s="53" t="inlineStr">
        <is>
          <t>N/A needs a reason in Notes. A check that does not apply to this run is a decision; a check that was skipped is not. If it was skipped, leave it as Not run so the Outcome reads INCOMPLETE.</t>
        </is>
      </c>
    </row>
    <row r="41" ht="18" customHeight="1" s="42">
      <c r="A41" s="7" t="inlineStr">
        <is>
          <t>•</t>
        </is>
      </c>
      <c r="B41" s="53" t="inlineStr">
        <is>
          <t>Never type over a formula cell. They are listed below.</t>
        </is>
      </c>
    </row>
    <row r="42" ht="32" customHeight="1" s="42">
      <c r="A42" s="7" t="inlineStr">
        <is>
          <t>•</t>
        </is>
      </c>
      <c r="B42" s="53" t="inlineStr">
        <is>
          <t>Run ID has to match exactly between the two tabs — “Run 2” on Run Summary and “Run 2” on Check Results. A trailing space makes the counts read zero.</t>
        </is>
      </c>
    </row>
    <row r="43" ht="18" customHeight="1" s="42">
      <c r="A43" s="7" t="inlineStr">
        <is>
          <t>•</t>
        </is>
      </c>
      <c r="B43" s="53" t="inlineStr">
        <is>
          <t>Check 8, cases versus dollars, is the one that matters most. Run it last and run it slowly.</t>
        </is>
      </c>
    </row>
    <row r="44" ht="22" customHeight="1" s="42">
      <c r="A44" s="52" t="inlineStr">
        <is>
          <t>FORMULA CELLS — DO NOT TYPE OVER THESE</t>
        </is>
      </c>
    </row>
    <row r="45"/>
    <row r="46" ht="32" customHeight="1" s="42">
      <c r="B46" s="1" t="inlineStr">
        <is>
          <t>Run Summary  F:K</t>
        </is>
      </c>
      <c r="C46" s="2" t="inlineStr">
        <is>
          <t>Checks recorded, Pass, Fail, N/A, Blocking failures and % Pass. COUNTIFS against Check Results rows 5 to 600, keyed on Run ID.</t>
        </is>
      </c>
    </row>
    <row r="47" ht="30" customHeight="1" s="42">
      <c r="B47" s="6" t="inlineStr">
        <is>
          <t>Run Summary  L</t>
        </is>
      </c>
      <c r="C47" s="4" t="inlineStr">
        <is>
          <t>Outcome. Reads BLOCKED, PASSED WITH FAILURES, INCOMPLETE or PASS from the counts to its left.</t>
        </is>
      </c>
    </row>
    <row r="48" ht="30" customHeight="1" s="42">
      <c r="B48" s="6" t="inlineStr">
        <is>
          <t>Failure Log  J</t>
        </is>
      </c>
      <c r="C48" s="4" t="inlineStr">
        <is>
          <t>Status. Open → Fix applied → Closed, driven by the Fix applied and Re-verified in run columns.</t>
        </is>
      </c>
    </row>
    <row r="49" ht="32" customHeight="1" s="42">
      <c r="B49" s="54" t="inlineStr">
        <is>
          <t>Rows 5 to 600 on Check Results and 5 to 60 on Run Summary are already formatted and formula-bearing. Adding a run inside that range needs no repair. Past it, copy an existing row rather than typing a new one.</t>
        </is>
      </c>
    </row>
    <row r="50" ht="22" customHeight="1" s="42">
      <c r="A50" s="52" t="inlineStr">
        <is>
          <t>WHERE THIS COMES FROM</t>
        </is>
      </c>
    </row>
    <row r="51"/>
    <row r="52" ht="18" customHeight="1" s="42">
      <c r="B52" s="1" t="inlineStr">
        <is>
          <t>Document 02 §9</t>
        </is>
      </c>
      <c r="C52" s="2" t="inlineStr">
        <is>
          <t>Validation Before Publishing — defines the seventeen checks and their pass criteria.</t>
        </is>
      </c>
    </row>
    <row r="53" ht="30" customHeight="1" s="42">
      <c r="B53" s="6" t="inlineStr">
        <is>
          <t>Document 21, Phase 6</t>
        </is>
      </c>
      <c r="C53" s="4" t="inlineStr">
        <is>
          <t>The three checklist tasks: run all seventeen, record the results here with a date, re-run after any fact-table reload.</t>
        </is>
      </c>
    </row>
    <row r="54" ht="18" customHeight="1" s="42">
      <c r="B54" s="6" t="inlineStr">
        <is>
          <t>Document 01 §9</t>
        </is>
      </c>
      <c r="C54" s="4" t="inlineStr">
        <is>
          <t>Table 9.1, the document set and its numbering.</t>
        </is>
      </c>
    </row>
    <row r="55" ht="56.5" customHeight="1" s="42">
      <c r="B55" s="1" t="inlineStr">
        <is>
          <t>docs/validation/</t>
        </is>
      </c>
      <c r="C55" s="2" t="inlineStr">
        <is>
          <t>One step-by-step procedure per check, V01 to V17, written for someone who has never run it. Each exists as a .docx to read and an .xlsx with a Pass/Fail drop-down on every tick table (V07, V08, V15, V16 and V17). The results still belong here, on Check Results — the V files are the instructions, not the record.</t>
        </is>
      </c>
    </row>
  </sheetData>
  <mergeCells count="30">
    <mergeCell ref="B16:C16"/>
    <mergeCell ref="A37:C37"/>
    <mergeCell ref="A18:C18"/>
    <mergeCell ref="A50:C50"/>
    <mergeCell ref="B27:C27"/>
    <mergeCell ref="A2:C2"/>
    <mergeCell ref="B43:C43"/>
    <mergeCell ref="B39:C39"/>
    <mergeCell ref="B42:C42"/>
    <mergeCell ref="B14:C14"/>
    <mergeCell ref="B17:C17"/>
    <mergeCell ref="A4:C4"/>
    <mergeCell ref="B13:C13"/>
    <mergeCell ref="B29:C29"/>
    <mergeCell ref="A44:C44"/>
    <mergeCell ref="A31:C31"/>
    <mergeCell ref="B34:C34"/>
    <mergeCell ref="B28:C28"/>
    <mergeCell ref="B40:C40"/>
    <mergeCell ref="B49:C49"/>
    <mergeCell ref="A24:C24"/>
    <mergeCell ref="B30:C30"/>
    <mergeCell ref="A11:C11"/>
    <mergeCell ref="B15:C15"/>
    <mergeCell ref="B33:C33"/>
    <mergeCell ref="A1:C1"/>
    <mergeCell ref="B36:C36"/>
    <mergeCell ref="B26:C26"/>
    <mergeCell ref="B41:C41"/>
    <mergeCell ref="B35:C35"/>
  </mergeCells>
  <hyperlinks>
    <hyperlink ref="B7" location="'Check Catalog'!A1" display="Check Catalog"/>
    <hyperlink ref="B8" location="'Check Results'!A1" display="Check Results"/>
    <hyperlink ref="B9" location="'Run Summary'!A1" display="Run Summary"/>
    <hyperlink ref="B10" location="'Failure Log'!A1" display="Failure Log"/>
  </hyperlinks>
  <pageMargins left="0.75" right="0.75" top="1" bottom="1" header="0.5" footer="0.5"/>
  <pageSetup orientation="portrait" fitToHeight="0"/>
</worksheet>
</file>

<file path=xl/worksheets/sheet2.xml><?xml version="1.0" encoding="utf-8"?>
<worksheet xmlns="http://schemas.openxmlformats.org/spreadsheetml/2006/main">
  <sheetPr>
    <tabColor rgb="001B9E8F"/>
    <outlinePr summaryBelow="1" summaryRight="1"/>
    <pageSetUpPr fitToPage="1"/>
  </sheetPr>
  <dimension ref="A1:C73"/>
  <sheetViews>
    <sheetView showGridLines="0" tabSelected="0" workbookViewId="0">
      <pane ySplit="2" topLeftCell="A3" activePane="bottomLeft" state="frozen"/>
      <selection pane="bottomLeft" activeCell="A1" sqref="A1"/>
    </sheetView>
  </sheetViews>
  <sheetFormatPr baseColWidth="8" defaultRowHeight="15"/>
  <cols>
    <col width="5" customWidth="1" style="42" min="1" max="1"/>
    <col width="26" customWidth="1" style="42" min="2" max="2"/>
    <col width="96" customWidth="1" style="42" min="3" max="3"/>
  </cols>
  <sheetData>
    <row r="1" ht="26" customHeight="1" s="42">
      <c r="A1" s="55" t="inlineStr">
        <is>
          <t>Worked Example — validating one check from start to finish</t>
        </is>
      </c>
    </row>
    <row r="2" ht="46" customHeight="1" s="42">
      <c r="A2" s="56" t="inlineStr">
        <is>
          <t>The procedure for every check in this workbook, shown once in full on check 1, staged versus loaded rows. Follow the same five parts — know the check, run it, decide, record, and handle a failure — for any of the seventeen. Document 25 says when each check is run; document 26 is the tick-list that goes with it.</t>
        </is>
      </c>
    </row>
    <row r="3" ht="8" customHeight="1" s="42"/>
    <row r="4" ht="22" customHeight="1" s="42">
      <c r="A4" s="57" t="inlineStr">
        <is>
          <t>PART A — KNOW THE CHECK BEFORE YOU RUN IT</t>
        </is>
      </c>
    </row>
    <row r="5" ht="18" customHeight="1" s="42">
      <c r="B5" s="58" t="inlineStr">
        <is>
          <t>Check</t>
        </is>
      </c>
      <c r="C5" s="41" t="inlineStr">
        <is>
          <t>1 — Staged versus loaded rows</t>
        </is>
      </c>
    </row>
    <row r="6" ht="18" customHeight="1" s="42">
      <c r="B6" s="58" t="inlineStr">
        <is>
          <t>Pass criterion</t>
        </is>
      </c>
      <c r="C6" s="41" t="inlineStr">
        <is>
          <t>Zero difference, or every dropped row explained and documented.</t>
        </is>
      </c>
    </row>
    <row r="7" ht="32" customHeight="1" s="42">
      <c r="B7" s="58" t="inlineStr">
        <is>
          <t>Protects against</t>
        </is>
      </c>
      <c r="C7" s="41" t="inlineStr">
        <is>
          <t>A silent load failure. Rows lost to a failed date conversion or a missing dimension key never raise an error — the fact table is simply smaller than the source.</t>
        </is>
      </c>
    </row>
    <row r="8" ht="18" customHeight="1" s="42">
      <c r="B8" s="58" t="inlineStr">
        <is>
          <t>Severity</t>
        </is>
      </c>
      <c r="C8" s="41" t="inlineStr">
        <is>
          <t>Blocking. A failure stops the model being published.</t>
        </is>
      </c>
    </row>
    <row r="9" ht="32" customHeight="1" s="42">
      <c r="B9" s="58" t="inlineStr">
        <is>
          <t>When</t>
        </is>
      </c>
      <c r="C9" s="41" t="inlineStr">
        <is>
          <t>Gate G1, straight after sql/05 runs. Again at G5, the model pass. Again after every reload of the fact table. Document 25 §3.2, §3.6 and §4.</t>
        </is>
      </c>
    </row>
    <row r="10" ht="18" customHeight="1" s="42">
      <c r="B10" s="58" t="inlineStr">
        <is>
          <t>Where it runs</t>
        </is>
      </c>
      <c r="C10" s="41" t="inlineStr">
        <is>
          <t>SSMS 22, connected to BRUNO\MSSQLSERVER01, database RetailEconomics.</t>
        </is>
      </c>
    </row>
    <row r="11" ht="32" customHeight="1" s="42">
      <c r="B11" s="59" t="inlineStr">
        <is>
          <t>Check Catalog</t>
        </is>
      </c>
      <c r="C11" s="41" t="inlineStr">
        <is>
          <t>The same facts for all seventeen checks are on the Check Catalog tab. Read the check’s row there before running any check.</t>
        </is>
      </c>
    </row>
    <row r="12" ht="8" customHeight="1" s="42"/>
    <row r="13" ht="22" customHeight="1" s="42">
      <c r="A13" s="57" t="inlineStr">
        <is>
          <t>PART B — RUN IT</t>
        </is>
      </c>
    </row>
    <row r="14" ht="18" customHeight="1" s="42">
      <c r="A14" s="5" t="n">
        <v>1</v>
      </c>
      <c r="B14" s="41" t="inlineStr">
        <is>
          <t>In SSMS 22, connect to BRUNO\MSSQLSERVER01 and open a new query window on the RetailEconomics database.</t>
        </is>
      </c>
    </row>
    <row r="15" ht="32" customHeight="1" s="42">
      <c r="A15" s="5" t="n">
        <v>2</v>
      </c>
      <c r="B15" s="41" t="inlineStr">
        <is>
          <t>On the first build, sql/05_fact_and_proc.sql ends by returning these two counts itself. For any later check, run the reconciliation on its own — it reads the tables and changes nothing:</t>
        </is>
      </c>
    </row>
    <row r="16" ht="15" customHeight="1" s="42">
      <c r="B16" s="60" t="inlineStr">
        <is>
          <t>SELECT (SELECT COUNT(*) FROM stg.WarehouseRetailSales) AS StagedRows,</t>
        </is>
      </c>
    </row>
    <row r="17" ht="15" customHeight="1" s="42">
      <c r="B17" s="60" t="inlineStr">
        <is>
          <t xml:space="preserve">       (SELECT COUNT(*) FROM dw.FactItemMovement)      AS LoadedRows;</t>
        </is>
      </c>
    </row>
    <row r="18" ht="6" customHeight="1" s="42"/>
    <row r="19" ht="18" customHeight="1" s="42">
      <c r="A19" s="5" t="n">
        <v>3</v>
      </c>
      <c r="B19" s="41" t="inlineStr">
        <is>
          <t>Write both numbers down as they appear. Then work out the difference: StagedRows minus LoadedRows.</t>
        </is>
      </c>
    </row>
    <row r="20" ht="8" customHeight="1" s="42"/>
    <row r="21" ht="22" customHeight="1" s="42">
      <c r="A21" s="57" t="inlineStr">
        <is>
          <t>PART C — DECIDE</t>
        </is>
      </c>
    </row>
    <row r="22" ht="18" customHeight="1" s="42">
      <c r="A22" s="5" t="n">
        <v>4</v>
      </c>
      <c r="B22" s="41" t="inlineStr">
        <is>
          <t>Difference is 0: the check passes. Go to Part D.</t>
        </is>
      </c>
    </row>
    <row r="23" ht="43" customHeight="1" s="42">
      <c r="A23" s="5" t="n">
        <v>5</v>
      </c>
      <c r="B23" s="41" t="inlineStr">
        <is>
          <t>Difference is more than 0: some rows did not load. Before deciding anything, find out which rows and why. The load procedure drops a staged row for five reasons — the year or month will not convert, the item code is blank, the date falls outside DimDate, or the supplier or item has no row in its dimension table. This query counts each:</t>
        </is>
      </c>
    </row>
    <row r="24" ht="15" customHeight="1" s="42">
      <c r="B24" s="60" t="inlineStr">
        <is>
          <t>SELECT</t>
        </is>
      </c>
    </row>
    <row r="25" ht="15" customHeight="1" s="42">
      <c r="B25" s="60" t="inlineStr">
        <is>
          <t xml:space="preserve">    SUM(CASE WHEN TRY_CONVERT(int, src.[YEAR]) IS NULL</t>
        </is>
      </c>
    </row>
    <row r="26" ht="15" customHeight="1" s="42">
      <c r="B26" s="60" t="inlineStr">
        <is>
          <t xml:space="preserve">              OR TRY_CONVERT(int, src.[MONTH]) IS NULL</t>
        </is>
      </c>
    </row>
    <row r="27" ht="15" customHeight="1" s="42">
      <c r="B27" s="60" t="inlineStr">
        <is>
          <t xml:space="preserve">              OR TRY_CONVERT(int, src.[MONTH]) NOT BETWEEN 1 AND 12</t>
        </is>
      </c>
    </row>
    <row r="28" ht="15" customHeight="1" s="42">
      <c r="B28" s="60" t="inlineStr">
        <is>
          <t xml:space="preserve">             THEN 1 ELSE 0 END)                                AS BadYearOrMonth,</t>
        </is>
      </c>
    </row>
    <row r="29" ht="15" customHeight="1" s="42">
      <c r="B29" s="60" t="inlineStr">
        <is>
          <t xml:space="preserve">    SUM(CASE WHEN NULLIF(LTRIM(RTRIM(src.[ITEM CODE])), '') IS NULL</t>
        </is>
      </c>
    </row>
    <row r="30" ht="15" customHeight="1" s="42">
      <c r="B30" s="60" t="inlineStr">
        <is>
          <t xml:space="preserve">             THEN 1 ELSE 0 END)                                AS BlankItemCode,</t>
        </is>
      </c>
    </row>
    <row r="31" ht="15" customHeight="1" s="42">
      <c r="B31" s="60" t="inlineStr">
        <is>
          <t xml:space="preserve">    SUM(CASE WHEN TRY_CONVERT(int, src.[MONTH]) BETWEEN 1 AND 12</t>
        </is>
      </c>
    </row>
    <row r="32" ht="15" customHeight="1" s="42">
      <c r="B32" s="60" t="inlineStr">
        <is>
          <t xml:space="preserve">              AND NOT EXISTS (SELECT 1 FROM dw.DimDate AS d</t>
        </is>
      </c>
    </row>
    <row r="33" ht="15" customHeight="1" s="42">
      <c r="B33" s="60" t="inlineStr">
        <is>
          <t xml:space="preserve">                              WHERE d.DateKey = TRY_CONVERT(int, src.[YEAR])  * 10000</t>
        </is>
      </c>
    </row>
    <row r="34" ht="15" customHeight="1" s="42">
      <c r="B34" s="60" t="inlineStr">
        <is>
          <t xml:space="preserve">                                              + TRY_CONVERT(int, src.[MONTH]) * 100 + 1)</t>
        </is>
      </c>
    </row>
    <row r="35" ht="15" customHeight="1" s="42">
      <c r="B35" s="60" t="inlineStr">
        <is>
          <t xml:space="preserve">             THEN 1 ELSE 0 END)                                AS DateOutsideDimDate,</t>
        </is>
      </c>
    </row>
    <row r="36" ht="15" customHeight="1" s="42">
      <c r="A36" s="66" t="n"/>
      <c r="B36" s="60" t="inlineStr">
        <is>
          <t xml:space="preserve">    SUM(CASE WHEN NOT EXISTS (SELECT 1 FROM dw.DimSupplier AS s</t>
        </is>
      </c>
    </row>
    <row r="37" ht="15" customHeight="1" s="42">
      <c r="A37" s="66" t="n"/>
      <c r="B37" s="60" t="inlineStr">
        <is>
          <t xml:space="preserve">                              WHERE s.SupplierName = COALESCE(</t>
        </is>
      </c>
    </row>
    <row r="38" ht="15" customHeight="1" s="42">
      <c r="A38" s="66" t="n"/>
      <c r="B38" s="60" t="inlineStr">
        <is>
          <t xml:space="preserve">                                    NULLIF(LTRIM(RTRIM(src.[SUPPLIER])), ''), 'Unknown Supplier'))</t>
        </is>
      </c>
    </row>
    <row r="39" ht="15" customHeight="1" s="42">
      <c r="A39" s="66" t="n"/>
      <c r="B39" s="60" t="inlineStr">
        <is>
          <t xml:space="preserve">             THEN 1 ELSE 0 END)                                AS SupplierNotInDimSupplier,</t>
        </is>
      </c>
    </row>
    <row r="40" ht="15" customHeight="1" s="42">
      <c r="A40" s="66" t="n"/>
      <c r="B40" s="60" t="inlineStr">
        <is>
          <t xml:space="preserve">    SUM(CASE WHEN NULLIF(LTRIM(RTRIM(src.[ITEM CODE])), '') IS NOT NULL</t>
        </is>
      </c>
    </row>
    <row r="41" ht="15" customHeight="1" s="42">
      <c r="A41" s="66" t="n"/>
      <c r="B41" s="60" t="inlineStr">
        <is>
          <t xml:space="preserve">              AND NOT EXISTS (SELECT 1 FROM dw.DimItem AS i</t>
        </is>
      </c>
    </row>
    <row r="42" ht="15" customHeight="1" s="42">
      <c r="A42" s="66" t="n"/>
      <c r="B42" s="60" t="inlineStr">
        <is>
          <t xml:space="preserve">                              WHERE i.ItemCode = LTRIM(RTRIM(src.[ITEM CODE])))</t>
        </is>
      </c>
    </row>
    <row r="43" ht="15" customHeight="1" s="42">
      <c r="A43" s="66" t="n"/>
      <c r="B43" s="60" t="inlineStr">
        <is>
          <t xml:space="preserve">             THEN 1 ELSE 0 END)                                AS ItemNotInDimItem</t>
        </is>
      </c>
    </row>
    <row r="44" ht="15" customHeight="1" s="42">
      <c r="B44" s="60" t="inlineStr">
        <is>
          <t>FROM stg.WarehouseRetailSales AS src;</t>
        </is>
      </c>
    </row>
    <row r="45" ht="6" customHeight="1" s="42"/>
    <row r="46" ht="29.5" customHeight="1" s="42">
      <c r="A46" s="5" t="n">
        <v>6</v>
      </c>
      <c r="B46" s="53" t="inlineStr">
        <is>
          <t>Compare the five counts with the difference from step 3. A row can appear in more than one column, so the columns may add up to more than the difference; what matters is that every dropped row falls under at least one reason.</t>
        </is>
      </c>
    </row>
    <row r="47" ht="44" customHeight="1" s="42">
      <c r="A47" s="5" t="n">
        <v>7</v>
      </c>
      <c r="B47" s="53" t="inlineStr">
        <is>
          <t>Every dropped row is explained, and each reason is legitimate — a row with no item code cannot be attributed to an item: the check passes, with the explanation recorded. Any dropped row that none of the three reasons covers: the check fails. Go to Part E.</t>
        </is>
      </c>
    </row>
    <row r="48" ht="32" customHeight="1" s="42">
      <c r="B48" s="61" t="inlineStr">
        <is>
          <t>The criterion allows a gap only if it is explained. “Close enough” is not a result: a difference of 3 on 330,080 rows is 3 records nobody can account for.</t>
        </is>
      </c>
    </row>
    <row r="49" ht="8" customHeight="1" s="42"/>
    <row r="50" ht="22" customHeight="1" s="42">
      <c r="A50" s="57" t="inlineStr">
        <is>
          <t>PART D — RECORD IT</t>
        </is>
      </c>
    </row>
    <row r="51" ht="18" customHeight="1" s="42">
      <c r="A51" s="5" t="n">
        <v>8</v>
      </c>
      <c r="B51" s="53" t="inlineStr">
        <is>
          <t>Get the reference for what was checked. In PowerShell, the current commit is:</t>
        </is>
      </c>
    </row>
    <row r="52" ht="15" customHeight="1" s="42">
      <c r="B52" s="60" t="inlineStr">
        <is>
          <t>git -C X:\retail-sector-health log -1 --format=%h</t>
        </is>
      </c>
    </row>
    <row r="53" ht="6" customHeight="1" s="42"/>
    <row r="54" ht="46" customHeight="1" s="42">
      <c r="B54" s="59" t="inlineStr">
        <is>
          <t>Run Summary</t>
        </is>
      </c>
      <c r="C54" s="41" t="inlineStr">
        <is>
          <t>Add the run if it is not there yet: Run ID (Run 1 for the initial build), Date, Trigger (Initial build — or Post fact-table reload for a later check), Model / commit reference (the hash from step 8), Run by. Leave everything from Checks recorded rightwards alone; those are formulas.</t>
        </is>
      </c>
    </row>
    <row r="55" ht="32" customHeight="1" s="42">
      <c r="B55" s="59" t="inlineStr">
        <is>
          <t>Check Results</t>
        </is>
      </c>
      <c r="C55" s="41" t="inlineStr">
        <is>
          <t>On the row for this Run ID and check 1: Result, Observed value / evidence, Checked by, Date checked. Leave Check, Pass criterion and Severity as they are.</t>
        </is>
      </c>
    </row>
    <row r="56" ht="46" customHeight="1" s="42">
      <c r="B56" s="58" t="inlineStr">
        <is>
          <t>Observed value</t>
        </is>
      </c>
      <c r="C56" s="41" t="inlineStr">
        <is>
          <t>Record numbers, not a verdict. For a pass with no gap: “Staged 330,080 · Loaded 330,080 · difference 0”. For a pass with an explained gap: “Staged [n] · Loaded [n] · [d] dropped — [d] blank ITEM CODE (diagnostic query, Worked Example step 5)”.</t>
        </is>
      </c>
    </row>
    <row r="57" ht="32" customHeight="1" s="42">
      <c r="B57" s="58" t="inlineStr">
        <is>
          <t>Document 26</t>
        </is>
      </c>
      <c r="C57" s="41" t="inlineStr">
        <is>
          <t>Tick the matching row on the Build Checklist: G1.05 at gate G1, and G5.01 at the model pass. Same result, same date.</t>
        </is>
      </c>
    </row>
    <row r="58" ht="18" customHeight="1" s="42">
      <c r="A58" s="5" t="n">
        <v>9</v>
      </c>
      <c r="B58" s="53" t="inlineStr">
        <is>
          <t>Check the Run Summary tab. Checks recorded goes up by one, and the Outcome updates on its own.</t>
        </is>
      </c>
    </row>
    <row r="59" ht="8" customHeight="1" s="42"/>
    <row r="60" ht="22" customHeight="1" s="42">
      <c r="A60" s="57" t="inlineStr">
        <is>
          <t>PART E — IF IT FAILS</t>
        </is>
      </c>
    </row>
    <row r="61" ht="32" customHeight="1" s="42">
      <c r="A61" s="5" t="n">
        <v>10</v>
      </c>
      <c r="B61" s="53" t="inlineStr">
        <is>
          <t>On Check Results, record Fail with the numbers and the count of unexplained rows. Do not change it to N/A or clear it — a failure that was fixed is a better record than one that was erased.</t>
        </is>
      </c>
    </row>
    <row r="62" ht="32" customHeight="1" s="42">
      <c r="B62" s="59" t="inlineStr">
        <is>
          <t>Failure Log</t>
        </is>
      </c>
      <c r="C62" s="41" t="inlineStr">
        <is>
          <t>Add a row: Failure ID (F-001), Run ID, Check # 1, What was observed (the counts), Root cause (what the diagnostic showed). Status reads Open.</t>
        </is>
      </c>
    </row>
    <row r="63" ht="32" customHeight="1" s="42">
      <c r="A63" s="5" t="n">
        <v>11</v>
      </c>
      <c r="B63" s="53" t="inlineStr">
        <is>
          <t>Fix the cause where it started. A conversion problem is fixed in the cleansing of sql/04; then re-run sql/04, sql/05 and sql/06 in order — 06 because the lifecycle columns are built from the fact table and go stale when it changes.</t>
        </is>
      </c>
    </row>
    <row r="64" ht="18" customHeight="1" s="42">
      <c r="A64" s="5" t="n">
        <v>12</v>
      </c>
      <c r="B64" s="53" t="inlineStr">
        <is>
          <t>Fill in Fix applied, Fixed by and Date fixed on the Failure Log. Status changes to “Fix applied — not re-verified”.</t>
        </is>
      </c>
    </row>
    <row r="65" ht="32" customHeight="1" s="42">
      <c r="A65" s="5" t="n">
        <v>13</v>
      </c>
      <c r="B65" s="53" t="inlineStr">
        <is>
          <t>Re-run Part B as a new run — Run 2 on the Run Summary, Trigger Ad hoc, naming the fix in Notes. Record check 1 against Run 2, and check 12 as well, since sql/06 was re-run.</t>
        </is>
      </c>
    </row>
    <row r="66" ht="18" customHeight="1" s="42">
      <c r="A66" s="5" t="n">
        <v>14</v>
      </c>
      <c r="B66" s="53" t="inlineStr">
        <is>
          <t>When check 1 passes in Run 2, enter Run 2 in Re-verified in run on the Failure Log. Status changes to “Closed — re-verified”.</t>
        </is>
      </c>
    </row>
    <row r="67" ht="8" customHeight="1" s="42"/>
    <row r="68" ht="22" customHeight="1" s="42">
      <c r="A68" s="57" t="inlineStr">
        <is>
          <t>THE SAME PARTS FOR ANY OTHER CHECK</t>
        </is>
      </c>
    </row>
    <row r="69" ht="18" customHeight="1" s="42">
      <c r="B69" s="58" t="inlineStr">
        <is>
          <t>A — Know it</t>
        </is>
      </c>
      <c r="C69" s="41" t="inlineStr">
        <is>
          <t>Its row on the Check Catalog: criterion, what it protects, where it runs, severity.</t>
        </is>
      </c>
    </row>
    <row r="70" ht="18" customHeight="1" s="42">
      <c r="B70" s="58" t="inlineStr">
        <is>
          <t>B — Run it</t>
        </is>
      </c>
      <c r="C70" s="41" t="inlineStr">
        <is>
          <t>The query or visual on the Check Catalog row. Paste-ready SQL and DAX for most checks are in document 25 §3.</t>
        </is>
      </c>
    </row>
    <row r="71" ht="32" customHeight="1" s="42">
      <c r="B71" s="58" t="inlineStr">
        <is>
          <t>C — Decide</t>
        </is>
      </c>
      <c r="C71" s="41" t="inlineStr">
        <is>
          <t>Against the pass criterion only. If the criterion allows an explained exception, find the explanation before deciding.</t>
        </is>
      </c>
    </row>
    <row r="72" ht="18" customHeight="1" s="42">
      <c r="B72" s="58" t="inlineStr">
        <is>
          <t>D — Record it</t>
        </is>
      </c>
      <c r="C72" s="41" t="inlineStr">
        <is>
          <t>Run Summary for the run, Check Results for the result and the numbers, document 26 for the gate row.</t>
        </is>
      </c>
    </row>
    <row r="73" ht="18" customHeight="1" s="42">
      <c r="B73" s="58" t="inlineStr">
        <is>
          <t>E — If it fails</t>
        </is>
      </c>
      <c r="C73" s="41" t="inlineStr">
        <is>
          <t>Failure Log, fix at the source, re-run as a new run, close the failure when a later run passes.</t>
        </is>
      </c>
    </row>
  </sheetData>
  <mergeCells count="47">
    <mergeCell ref="B47:C47"/>
    <mergeCell ref="B16:C16"/>
    <mergeCell ref="B25:C25"/>
    <mergeCell ref="B46:C46"/>
    <mergeCell ref="B22:C22"/>
    <mergeCell ref="B66:C66"/>
    <mergeCell ref="A21:C21"/>
    <mergeCell ref="B31:C31"/>
    <mergeCell ref="A50:C50"/>
    <mergeCell ref="B27:C27"/>
    <mergeCell ref="A2:C2"/>
    <mergeCell ref="B43:C43"/>
    <mergeCell ref="B58:C58"/>
    <mergeCell ref="B39:C39"/>
    <mergeCell ref="B52:C52"/>
    <mergeCell ref="B48:C48"/>
    <mergeCell ref="B42:C42"/>
    <mergeCell ref="B23:C23"/>
    <mergeCell ref="B61:C61"/>
    <mergeCell ref="B14:C14"/>
    <mergeCell ref="B17:C17"/>
    <mergeCell ref="A4:C4"/>
    <mergeCell ref="B38:C38"/>
    <mergeCell ref="B44:C44"/>
    <mergeCell ref="A68:C68"/>
    <mergeCell ref="A13:C13"/>
    <mergeCell ref="B29:C29"/>
    <mergeCell ref="B19:C19"/>
    <mergeCell ref="B34:C34"/>
    <mergeCell ref="B37:C37"/>
    <mergeCell ref="B28:C28"/>
    <mergeCell ref="B40:C40"/>
    <mergeCell ref="B65:C65"/>
    <mergeCell ref="A60:C60"/>
    <mergeCell ref="B30:C30"/>
    <mergeCell ref="B24:C24"/>
    <mergeCell ref="B64:C64"/>
    <mergeCell ref="B15:C15"/>
    <mergeCell ref="B33:C33"/>
    <mergeCell ref="A1:C1"/>
    <mergeCell ref="B51:C51"/>
    <mergeCell ref="B36:C36"/>
    <mergeCell ref="B32:C32"/>
    <mergeCell ref="B63:C63"/>
    <mergeCell ref="B26:C26"/>
    <mergeCell ref="B41:C41"/>
    <mergeCell ref="B35:C35"/>
  </mergeCells>
  <hyperlinks>
    <hyperlink xmlns:r="http://schemas.openxmlformats.org/officeDocument/2006/relationships" ref="B11" r:id="rId1"/>
    <hyperlink xmlns:r="http://schemas.openxmlformats.org/officeDocument/2006/relationships" ref="B46" r:id="rId2"/>
    <hyperlink xmlns:r="http://schemas.openxmlformats.org/officeDocument/2006/relationships" ref="B47" r:id="rId3"/>
    <hyperlink xmlns:r="http://schemas.openxmlformats.org/officeDocument/2006/relationships" ref="B54" r:id="rId4"/>
  </hyperlinks>
  <pageMargins left="0.75" right="0.75" top="1" bottom="1" header="0.5" footer="0.5"/>
  <pageSetup orientation="portrait" fitToHeight="0" fitToWidth="1"/>
</worksheet>
</file>

<file path=xl/worksheets/sheet3.xml><?xml version="1.0" encoding="utf-8"?>
<worksheet xmlns="http://schemas.openxmlformats.org/spreadsheetml/2006/main">
  <sheetPr>
    <outlinePr summaryBelow="1" summaryRight="1"/>
    <pageSetUpPr fitToPage="1"/>
  </sheetPr>
  <dimension ref="A1:M60"/>
  <sheetViews>
    <sheetView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0" customWidth="1" style="42" min="1" max="1"/>
    <col width="12" customWidth="1" style="42" min="2" max="2"/>
    <col width="22" customWidth="1" style="42" min="3" max="3"/>
    <col width="26" customWidth="1" style="42" min="4" max="4"/>
    <col width="14" customWidth="1" style="42" min="5" max="5"/>
    <col width="11" customWidth="1" style="42" min="6" max="6"/>
    <col width="8" customWidth="1" style="42" min="7" max="9"/>
    <col width="12" customWidth="1" style="42" min="10" max="10"/>
    <col width="10" customWidth="1" style="42" min="11" max="11"/>
    <col width="22" customWidth="1" style="42" min="12" max="12"/>
    <col width="44" customWidth="1" style="42" min="13" max="13"/>
  </cols>
  <sheetData>
    <row r="1" ht="24" customHeight="1" s="42">
      <c r="A1" s="62" t="inlineStr">
        <is>
          <t>Document 22 — Validation and QA Results</t>
        </is>
      </c>
    </row>
    <row r="2" ht="30" customHeight="1" s="42">
      <c r="A2" s="63" t="inlineStr">
        <is>
          <t>One row per validation run. Enter Run ID, Date, Trigger, Model reference and Run by; every count and the Outcome are formulas that read the Check Results tab. A run is complete when all seventeen checks carry a result. Source of the checks: document 02 §9.</t>
        </is>
      </c>
    </row>
    <row r="3"/>
    <row r="4" ht="34" customHeight="1" s="42">
      <c r="A4" s="8" t="inlineStr">
        <is>
          <t>Run ID</t>
        </is>
      </c>
      <c r="B4" s="8" t="inlineStr">
        <is>
          <t>Date</t>
        </is>
      </c>
      <c r="C4" s="8" t="inlineStr">
        <is>
          <t>Trigger</t>
        </is>
      </c>
      <c r="D4" s="8" t="inlineStr">
        <is>
          <t>Model / commit reference</t>
        </is>
      </c>
      <c r="E4" s="8" t="inlineStr">
        <is>
          <t>Run by</t>
        </is>
      </c>
      <c r="F4" s="8" t="inlineStr">
        <is>
          <t>Checks recorded</t>
        </is>
      </c>
      <c r="G4" s="8" t="inlineStr">
        <is>
          <t>Pass</t>
        </is>
      </c>
      <c r="H4" s="8" t="inlineStr">
        <is>
          <t>Fail</t>
        </is>
      </c>
      <c r="I4" s="8" t="inlineStr">
        <is>
          <t>N/A</t>
        </is>
      </c>
      <c r="J4" s="8" t="inlineStr">
        <is>
          <t>Blocking failures</t>
        </is>
      </c>
      <c r="K4" s="8" t="inlineStr">
        <is>
          <t>% Pass</t>
        </is>
      </c>
      <c r="L4" s="8" t="inlineStr">
        <is>
          <t>Outcome</t>
        </is>
      </c>
      <c r="M4" s="8" t="inlineStr">
        <is>
          <t>Notes</t>
        </is>
      </c>
    </row>
    <row r="5" ht="18" customHeight="1" s="42">
      <c r="A5" s="9" t="inlineStr">
        <is>
          <t>Run 1</t>
        </is>
      </c>
      <c r="B5" s="10" t="n"/>
      <c r="C5" s="11" t="inlineStr">
        <is>
          <t>Initial build</t>
        </is>
      </c>
      <c r="D5" s="11" t="n"/>
      <c r="E5" s="11" t="n"/>
      <c r="F5" s="12">
        <f>IF($A5="","",COUNTIFS('Check Results'!$A$5:$A$600,$A5,'Check Results'!$F$5:$F$600,"Pass")+COUNTIFS('Check Results'!$A$5:$A$600,$A5,'Check Results'!$F$5:$F$600,"Fail")+COUNTIFS('Check Results'!$A$5:$A$600,$A5,'Check Results'!$F$5:$F$600,"N/A"))</f>
        <v/>
      </c>
      <c r="G5" s="12">
        <f>IF($A5="","",COUNTIFS('Check Results'!$A$5:$A$600,$A5,'Check Results'!$F$5:$F$600,"Pass"))</f>
        <v/>
      </c>
      <c r="H5" s="12">
        <f>IF($A5="","",COUNTIFS('Check Results'!$A$5:$A$600,$A5,'Check Results'!$F$5:$F$600,"Fail"))</f>
        <v/>
      </c>
      <c r="I5" s="12">
        <f>IF($A5="","",COUNTIFS('Check Results'!$A$5:$A$600,$A5,'Check Results'!$F$5:$F$600,"N/A"))</f>
        <v/>
      </c>
      <c r="J5" s="13">
        <f>IF($A5="","",COUNTIFS('Check Results'!$A$5:$A$600,$A5,'Check Results'!$F$5:$F$600,"Fail",'Check Results'!$E$5:$E$600,"Blocking"))</f>
        <v/>
      </c>
      <c r="K5" s="14">
        <f>IF($A5="","",IF($G5+$H5=0,0,$G5/($G5+$H5)))</f>
        <v/>
      </c>
      <c r="L5" s="15">
        <f>IF($A5="","",IF($J5&gt;0,"BLOCKED",IF($F5&lt;17,"INCOMPLETE — "&amp;(17-$F5)&amp;" not recorded"&amp;IF($H5&gt;0," · "&amp;$H5&amp;" Advisory failing",""),IF($H5&gt;0,"PASSED WITH FAILURES — see Failure Log","PASS"))))</f>
        <v/>
      </c>
      <c r="M5" s="16" t="n"/>
    </row>
    <row r="6" ht="18" customHeight="1" s="42">
      <c r="A6" s="17" t="n"/>
      <c r="B6" s="18" t="n"/>
      <c r="C6" s="19" t="n"/>
      <c r="D6" s="19" t="n"/>
      <c r="E6" s="19" t="n"/>
      <c r="F6" s="20">
        <f>IF($A6="","",COUNTIFS('Check Results'!$A$5:$A$600,$A6,'Check Results'!$F$5:$F$600,"Pass")+COUNTIFS('Check Results'!$A$5:$A$600,$A6,'Check Results'!$F$5:$F$600,"Fail")+COUNTIFS('Check Results'!$A$5:$A$600,$A6,'Check Results'!$F$5:$F$600,"N/A"))</f>
        <v/>
      </c>
      <c r="G6" s="20">
        <f>IF($A6="","",COUNTIFS('Check Results'!$A$5:$A$600,$A6,'Check Results'!$F$5:$F$600,"Pass"))</f>
        <v/>
      </c>
      <c r="H6" s="20">
        <f>IF($A6="","",COUNTIFS('Check Results'!$A$5:$A$600,$A6,'Check Results'!$F$5:$F$600,"Fail"))</f>
        <v/>
      </c>
      <c r="I6" s="20">
        <f>IF($A6="","",COUNTIFS('Check Results'!$A$5:$A$600,$A6,'Check Results'!$F$5:$F$600,"N/A"))</f>
        <v/>
      </c>
      <c r="J6" s="21">
        <f>IF($A6="","",COUNTIFS('Check Results'!$A$5:$A$600,$A6,'Check Results'!$F$5:$F$600,"Fail",'Check Results'!$E$5:$E$600,"Blocking"))</f>
        <v/>
      </c>
      <c r="K6" s="22">
        <f>IF($A6="","",IF($G6+$H6=0,0,$G6/($G6+$H6)))</f>
        <v/>
      </c>
      <c r="L6" s="23">
        <f>IF($A6="","",IF($J6&gt;0,"BLOCKED",IF($F6&lt;17,"INCOMPLETE — "&amp;(17-$F6)&amp;" not recorded"&amp;IF($H6&gt;0," · "&amp;$H6&amp;" Advisory failing",""),IF($H6&gt;0,"PASSED WITH FAILURES — see Failure Log","PASS"))))</f>
        <v/>
      </c>
      <c r="M6" s="24" t="n"/>
    </row>
    <row r="7" ht="18" customHeight="1" s="42">
      <c r="A7" s="9" t="n"/>
      <c r="B7" s="10" t="n"/>
      <c r="C7" s="11" t="n"/>
      <c r="D7" s="11" t="n"/>
      <c r="E7" s="11" t="n"/>
      <c r="F7" s="12">
        <f>IF($A7="","",COUNTIFS('Check Results'!$A$5:$A$600,$A7,'Check Results'!$F$5:$F$600,"Pass")+COUNTIFS('Check Results'!$A$5:$A$600,$A7,'Check Results'!$F$5:$F$600,"Fail")+COUNTIFS('Check Results'!$A$5:$A$600,$A7,'Check Results'!$F$5:$F$600,"N/A"))</f>
        <v/>
      </c>
      <c r="G7" s="12">
        <f>IF($A7="","",COUNTIFS('Check Results'!$A$5:$A$600,$A7,'Check Results'!$F$5:$F$600,"Pass"))</f>
        <v/>
      </c>
      <c r="H7" s="12">
        <f>IF($A7="","",COUNTIFS('Check Results'!$A$5:$A$600,$A7,'Check Results'!$F$5:$F$600,"Fail"))</f>
        <v/>
      </c>
      <c r="I7" s="12">
        <f>IF($A7="","",COUNTIFS('Check Results'!$A$5:$A$600,$A7,'Check Results'!$F$5:$F$600,"N/A"))</f>
        <v/>
      </c>
      <c r="J7" s="13">
        <f>IF($A7="","",COUNTIFS('Check Results'!$A$5:$A$600,$A7,'Check Results'!$F$5:$F$600,"Fail",'Check Results'!$E$5:$E$600,"Blocking"))</f>
        <v/>
      </c>
      <c r="K7" s="14">
        <f>IF($A7="","",IF($G7+$H7=0,0,$G7/($G7+$H7)))</f>
        <v/>
      </c>
      <c r="L7" s="15">
        <f>IF($A7="","",IF($J7&gt;0,"BLOCKED",IF($F7&lt;17,"INCOMPLETE — "&amp;(17-$F7)&amp;" not recorded"&amp;IF($H7&gt;0," · "&amp;$H7&amp;" Advisory failing",""),IF($H7&gt;0,"PASSED WITH FAILURES — see Failure Log","PASS"))))</f>
        <v/>
      </c>
      <c r="M7" s="16" t="n"/>
    </row>
    <row r="8" ht="18" customHeight="1" s="42">
      <c r="A8" s="17" t="n"/>
      <c r="B8" s="18" t="n"/>
      <c r="C8" s="19" t="n"/>
      <c r="D8" s="19" t="n"/>
      <c r="E8" s="19" t="n"/>
      <c r="F8" s="20">
        <f>IF($A8="","",COUNTIFS('Check Results'!$A$5:$A$600,$A8,'Check Results'!$F$5:$F$600,"Pass")+COUNTIFS('Check Results'!$A$5:$A$600,$A8,'Check Results'!$F$5:$F$600,"Fail")+COUNTIFS('Check Results'!$A$5:$A$600,$A8,'Check Results'!$F$5:$F$600,"N/A"))</f>
        <v/>
      </c>
      <c r="G8" s="20">
        <f>IF($A8="","",COUNTIFS('Check Results'!$A$5:$A$600,$A8,'Check Results'!$F$5:$F$600,"Pass"))</f>
        <v/>
      </c>
      <c r="H8" s="20">
        <f>IF($A8="","",COUNTIFS('Check Results'!$A$5:$A$600,$A8,'Check Results'!$F$5:$F$600,"Fail"))</f>
        <v/>
      </c>
      <c r="I8" s="20">
        <f>IF($A8="","",COUNTIFS('Check Results'!$A$5:$A$600,$A8,'Check Results'!$F$5:$F$600,"N/A"))</f>
        <v/>
      </c>
      <c r="J8" s="21">
        <f>IF($A8="","",COUNTIFS('Check Results'!$A$5:$A$600,$A8,'Check Results'!$F$5:$F$600,"Fail",'Check Results'!$E$5:$E$600,"Blocking"))</f>
        <v/>
      </c>
      <c r="K8" s="22">
        <f>IF($A8="","",IF($G8+$H8=0,0,$G8/($G8+$H8)))</f>
        <v/>
      </c>
      <c r="L8" s="23">
        <f>IF($A8="","",IF($J8&gt;0,"BLOCKED",IF($F8&lt;17,"INCOMPLETE — "&amp;(17-$F8)&amp;" not recorded"&amp;IF($H8&gt;0," · "&amp;$H8&amp;" Advisory failing",""),IF($H8&gt;0,"PASSED WITH FAILURES — see Failure Log","PASS"))))</f>
        <v/>
      </c>
      <c r="M8" s="24" t="n"/>
    </row>
    <row r="9" ht="18" customHeight="1" s="42">
      <c r="A9" s="9" t="n"/>
      <c r="B9" s="10" t="n"/>
      <c r="C9" s="11" t="n"/>
      <c r="D9" s="11" t="n"/>
      <c r="E9" s="11" t="n"/>
      <c r="F9" s="12">
        <f>IF($A9="","",COUNTIFS('Check Results'!$A$5:$A$600,$A9,'Check Results'!$F$5:$F$600,"Pass")+COUNTIFS('Check Results'!$A$5:$A$600,$A9,'Check Results'!$F$5:$F$600,"Fail")+COUNTIFS('Check Results'!$A$5:$A$600,$A9,'Check Results'!$F$5:$F$600,"N/A"))</f>
        <v/>
      </c>
      <c r="G9" s="12">
        <f>IF($A9="","",COUNTIFS('Check Results'!$A$5:$A$600,$A9,'Check Results'!$F$5:$F$600,"Pass"))</f>
        <v/>
      </c>
      <c r="H9" s="12">
        <f>IF($A9="","",COUNTIFS('Check Results'!$A$5:$A$600,$A9,'Check Results'!$F$5:$F$600,"Fail"))</f>
        <v/>
      </c>
      <c r="I9" s="12">
        <f>IF($A9="","",COUNTIFS('Check Results'!$A$5:$A$600,$A9,'Check Results'!$F$5:$F$600,"N/A"))</f>
        <v/>
      </c>
      <c r="J9" s="13">
        <f>IF($A9="","",COUNTIFS('Check Results'!$A$5:$A$600,$A9,'Check Results'!$F$5:$F$600,"Fail",'Check Results'!$E$5:$E$600,"Blocking"))</f>
        <v/>
      </c>
      <c r="K9" s="14">
        <f>IF($A9="","",IF($G9+$H9=0,0,$G9/($G9+$H9)))</f>
        <v/>
      </c>
      <c r="L9" s="15">
        <f>IF($A9="","",IF($J9&gt;0,"BLOCKED",IF($F9&lt;17,"INCOMPLETE — "&amp;(17-$F9)&amp;" not recorded"&amp;IF($H9&gt;0," · "&amp;$H9&amp;" Advisory failing",""),IF($H9&gt;0,"PASSED WITH FAILURES — see Failure Log","PASS"))))</f>
        <v/>
      </c>
      <c r="M9" s="16" t="n"/>
    </row>
    <row r="10" ht="18" customHeight="1" s="42">
      <c r="A10" s="17" t="n"/>
      <c r="B10" s="18" t="n"/>
      <c r="C10" s="19" t="n"/>
      <c r="D10" s="19" t="n"/>
      <c r="E10" s="19" t="n"/>
      <c r="F10" s="20">
        <f>IF($A10="","",COUNTIFS('Check Results'!$A$5:$A$600,$A10,'Check Results'!$F$5:$F$600,"Pass")+COUNTIFS('Check Results'!$A$5:$A$600,$A10,'Check Results'!$F$5:$F$600,"Fail")+COUNTIFS('Check Results'!$A$5:$A$600,$A10,'Check Results'!$F$5:$F$600,"N/A"))</f>
        <v/>
      </c>
      <c r="G10" s="20">
        <f>IF($A10="","",COUNTIFS('Check Results'!$A$5:$A$600,$A10,'Check Results'!$F$5:$F$600,"Pass"))</f>
        <v/>
      </c>
      <c r="H10" s="20">
        <f>IF($A10="","",COUNTIFS('Check Results'!$A$5:$A$600,$A10,'Check Results'!$F$5:$F$600,"Fail"))</f>
        <v/>
      </c>
      <c r="I10" s="20">
        <f>IF($A10="","",COUNTIFS('Check Results'!$A$5:$A$600,$A10,'Check Results'!$F$5:$F$600,"N/A"))</f>
        <v/>
      </c>
      <c r="J10" s="21">
        <f>IF($A10="","",COUNTIFS('Check Results'!$A$5:$A$600,$A10,'Check Results'!$F$5:$F$600,"Fail",'Check Results'!$E$5:$E$600,"Blocking"))</f>
        <v/>
      </c>
      <c r="K10" s="22">
        <f>IF($A10="","",IF($G10+$H10=0,0,$G10/($G10+$H10)))</f>
        <v/>
      </c>
      <c r="L10" s="23">
        <f>IF($A10="","",IF($J10&gt;0,"BLOCKED",IF($F10&lt;17,"INCOMPLETE — "&amp;(17-$F10)&amp;" not recorded"&amp;IF($H10&gt;0," · "&amp;$H10&amp;" Advisory failing",""),IF($H10&gt;0,"PASSED WITH FAILURES — see Failure Log","PASS"))))</f>
        <v/>
      </c>
      <c r="M10" s="24" t="n"/>
    </row>
    <row r="11" ht="18" customHeight="1" s="42">
      <c r="A11" s="9" t="n"/>
      <c r="B11" s="10" t="n"/>
      <c r="C11" s="11" t="n"/>
      <c r="D11" s="11" t="n"/>
      <c r="E11" s="11" t="n"/>
      <c r="F11" s="12">
        <f>IF($A11="","",COUNTIFS('Check Results'!$A$5:$A$600,$A11,'Check Results'!$F$5:$F$600,"Pass")+COUNTIFS('Check Results'!$A$5:$A$600,$A11,'Check Results'!$F$5:$F$600,"Fail")+COUNTIFS('Check Results'!$A$5:$A$600,$A11,'Check Results'!$F$5:$F$600,"N/A"))</f>
        <v/>
      </c>
      <c r="G11" s="12">
        <f>IF($A11="","",COUNTIFS('Check Results'!$A$5:$A$600,$A11,'Check Results'!$F$5:$F$600,"Pass"))</f>
        <v/>
      </c>
      <c r="H11" s="12">
        <f>IF($A11="","",COUNTIFS('Check Results'!$A$5:$A$600,$A11,'Check Results'!$F$5:$F$600,"Fail"))</f>
        <v/>
      </c>
      <c r="I11" s="12">
        <f>IF($A11="","",COUNTIFS('Check Results'!$A$5:$A$600,$A11,'Check Results'!$F$5:$F$600,"N/A"))</f>
        <v/>
      </c>
      <c r="J11" s="13">
        <f>IF($A11="","",COUNTIFS('Check Results'!$A$5:$A$600,$A11,'Check Results'!$F$5:$F$600,"Fail",'Check Results'!$E$5:$E$600,"Blocking"))</f>
        <v/>
      </c>
      <c r="K11" s="14">
        <f>IF($A11="","",IF($G11+$H11=0,0,$G11/($G11+$H11)))</f>
        <v/>
      </c>
      <c r="L11" s="15">
        <f>IF($A11="","",IF($J11&gt;0,"BLOCKED",IF($F11&lt;17,"INCOMPLETE — "&amp;(17-$F11)&amp;" not recorded"&amp;IF($H11&gt;0," · "&amp;$H11&amp;" Advisory failing",""),IF($H11&gt;0,"PASSED WITH FAILURES — see Failure Log","PASS"))))</f>
        <v/>
      </c>
      <c r="M11" s="16" t="n"/>
    </row>
    <row r="12" ht="18" customHeight="1" s="42">
      <c r="A12" s="17" t="n"/>
      <c r="B12" s="18" t="n"/>
      <c r="C12" s="19" t="n"/>
      <c r="D12" s="19" t="n"/>
      <c r="E12" s="19" t="n"/>
      <c r="F12" s="20">
        <f>IF($A12="","",COUNTIFS('Check Results'!$A$5:$A$600,$A12,'Check Results'!$F$5:$F$600,"Pass")+COUNTIFS('Check Results'!$A$5:$A$600,$A12,'Check Results'!$F$5:$F$600,"Fail")+COUNTIFS('Check Results'!$A$5:$A$600,$A12,'Check Results'!$F$5:$F$600,"N/A"))</f>
        <v/>
      </c>
      <c r="G12" s="20">
        <f>IF($A12="","",COUNTIFS('Check Results'!$A$5:$A$600,$A12,'Check Results'!$F$5:$F$600,"Pass"))</f>
        <v/>
      </c>
      <c r="H12" s="20">
        <f>IF($A12="","",COUNTIFS('Check Results'!$A$5:$A$600,$A12,'Check Results'!$F$5:$F$600,"Fail"))</f>
        <v/>
      </c>
      <c r="I12" s="20">
        <f>IF($A12="","",COUNTIFS('Check Results'!$A$5:$A$600,$A12,'Check Results'!$F$5:$F$600,"N/A"))</f>
        <v/>
      </c>
      <c r="J12" s="21">
        <f>IF($A12="","",COUNTIFS('Check Results'!$A$5:$A$600,$A12,'Check Results'!$F$5:$F$600,"Fail",'Check Results'!$E$5:$E$600,"Blocking"))</f>
        <v/>
      </c>
      <c r="K12" s="22">
        <f>IF($A12="","",IF($G12+$H12=0,0,$G12/($G12+$H12)))</f>
        <v/>
      </c>
      <c r="L12" s="23">
        <f>IF($A12="","",IF($J12&gt;0,"BLOCKED",IF($F12&lt;17,"INCOMPLETE — "&amp;(17-$F12)&amp;" not recorded"&amp;IF($H12&gt;0," · "&amp;$H12&amp;" Advisory failing",""),IF($H12&gt;0,"PASSED WITH FAILURES — see Failure Log","PASS"))))</f>
        <v/>
      </c>
      <c r="M12" s="24" t="n"/>
    </row>
    <row r="13" ht="18" customHeight="1" s="42">
      <c r="A13" s="9" t="n"/>
      <c r="B13" s="10" t="n"/>
      <c r="C13" s="11" t="n"/>
      <c r="D13" s="11" t="n"/>
      <c r="E13" s="11" t="n"/>
      <c r="F13" s="12">
        <f>IF($A13="","",COUNTIFS('Check Results'!$A$5:$A$600,$A13,'Check Results'!$F$5:$F$600,"Pass")+COUNTIFS('Check Results'!$A$5:$A$600,$A13,'Check Results'!$F$5:$F$600,"Fail")+COUNTIFS('Check Results'!$A$5:$A$600,$A13,'Check Results'!$F$5:$F$600,"N/A"))</f>
        <v/>
      </c>
      <c r="G13" s="12">
        <f>IF($A13="","",COUNTIFS('Check Results'!$A$5:$A$600,$A13,'Check Results'!$F$5:$F$600,"Pass"))</f>
        <v/>
      </c>
      <c r="H13" s="12">
        <f>IF($A13="","",COUNTIFS('Check Results'!$A$5:$A$600,$A13,'Check Results'!$F$5:$F$600,"Fail"))</f>
        <v/>
      </c>
      <c r="I13" s="12">
        <f>IF($A13="","",COUNTIFS('Check Results'!$A$5:$A$600,$A13,'Check Results'!$F$5:$F$600,"N/A"))</f>
        <v/>
      </c>
      <c r="J13" s="13">
        <f>IF($A13="","",COUNTIFS('Check Results'!$A$5:$A$600,$A13,'Check Results'!$F$5:$F$600,"Fail",'Check Results'!$E$5:$E$600,"Blocking"))</f>
        <v/>
      </c>
      <c r="K13" s="14">
        <f>IF($A13="","",IF($G13+$H13=0,0,$G13/($G13+$H13)))</f>
        <v/>
      </c>
      <c r="L13" s="15">
        <f>IF($A13="","",IF($J13&gt;0,"BLOCKED",IF($F13&lt;17,"INCOMPLETE — "&amp;(17-$F13)&amp;" not recorded"&amp;IF($H13&gt;0," · "&amp;$H13&amp;" Advisory failing",""),IF($H13&gt;0,"PASSED WITH FAILURES — see Failure Log","PASS"))))</f>
        <v/>
      </c>
      <c r="M13" s="16" t="n"/>
    </row>
    <row r="14" ht="18" customHeight="1" s="42">
      <c r="A14" s="17" t="n"/>
      <c r="B14" s="18" t="n"/>
      <c r="C14" s="19" t="n"/>
      <c r="D14" s="19" t="n"/>
      <c r="E14" s="19" t="n"/>
      <c r="F14" s="20">
        <f>IF($A14="","",COUNTIFS('Check Results'!$A$5:$A$600,$A14,'Check Results'!$F$5:$F$600,"Pass")+COUNTIFS('Check Results'!$A$5:$A$600,$A14,'Check Results'!$F$5:$F$600,"Fail")+COUNTIFS('Check Results'!$A$5:$A$600,$A14,'Check Results'!$F$5:$F$600,"N/A"))</f>
        <v/>
      </c>
      <c r="G14" s="20">
        <f>IF($A14="","",COUNTIFS('Check Results'!$A$5:$A$600,$A14,'Check Results'!$F$5:$F$600,"Pass"))</f>
        <v/>
      </c>
      <c r="H14" s="20">
        <f>IF($A14="","",COUNTIFS('Check Results'!$A$5:$A$600,$A14,'Check Results'!$F$5:$F$600,"Fail"))</f>
        <v/>
      </c>
      <c r="I14" s="20">
        <f>IF($A14="","",COUNTIFS('Check Results'!$A$5:$A$600,$A14,'Check Results'!$F$5:$F$600,"N/A"))</f>
        <v/>
      </c>
      <c r="J14" s="21">
        <f>IF($A14="","",COUNTIFS('Check Results'!$A$5:$A$600,$A14,'Check Results'!$F$5:$F$600,"Fail",'Check Results'!$E$5:$E$600,"Blocking"))</f>
        <v/>
      </c>
      <c r="K14" s="22">
        <f>IF($A14="","",IF($G14+$H14=0,0,$G14/($G14+$H14)))</f>
        <v/>
      </c>
      <c r="L14" s="23">
        <f>IF($A14="","",IF($J14&gt;0,"BLOCKED",IF($F14&lt;17,"INCOMPLETE — "&amp;(17-$F14)&amp;" not recorded"&amp;IF($H14&gt;0," · "&amp;$H14&amp;" Advisory failing",""),IF($H14&gt;0,"PASSED WITH FAILURES — see Failure Log","PASS"))))</f>
        <v/>
      </c>
      <c r="M14" s="24" t="n"/>
    </row>
    <row r="15" ht="18" customHeight="1" s="42">
      <c r="A15" s="9" t="n"/>
      <c r="B15" s="10" t="n"/>
      <c r="C15" s="11" t="n"/>
      <c r="D15" s="11" t="n"/>
      <c r="E15" s="11" t="n"/>
      <c r="F15" s="12">
        <f>IF($A15="","",COUNTIFS('Check Results'!$A$5:$A$600,$A15,'Check Results'!$F$5:$F$600,"Pass")+COUNTIFS('Check Results'!$A$5:$A$600,$A15,'Check Results'!$F$5:$F$600,"Fail")+COUNTIFS('Check Results'!$A$5:$A$600,$A15,'Check Results'!$F$5:$F$600,"N/A"))</f>
        <v/>
      </c>
      <c r="G15" s="12">
        <f>IF($A15="","",COUNTIFS('Check Results'!$A$5:$A$600,$A15,'Check Results'!$F$5:$F$600,"Pass"))</f>
        <v/>
      </c>
      <c r="H15" s="12">
        <f>IF($A15="","",COUNTIFS('Check Results'!$A$5:$A$600,$A15,'Check Results'!$F$5:$F$600,"Fail"))</f>
        <v/>
      </c>
      <c r="I15" s="12">
        <f>IF($A15="","",COUNTIFS('Check Results'!$A$5:$A$600,$A15,'Check Results'!$F$5:$F$600,"N/A"))</f>
        <v/>
      </c>
      <c r="J15" s="13">
        <f>IF($A15="","",COUNTIFS('Check Results'!$A$5:$A$600,$A15,'Check Results'!$F$5:$F$600,"Fail",'Check Results'!$E$5:$E$600,"Blocking"))</f>
        <v/>
      </c>
      <c r="K15" s="14">
        <f>IF($A15="","",IF($G15+$H15=0,0,$G15/($G15+$H15)))</f>
        <v/>
      </c>
      <c r="L15" s="15">
        <f>IF($A15="","",IF($J15&gt;0,"BLOCKED",IF($F15&lt;17,"INCOMPLETE — "&amp;(17-$F15)&amp;" not recorded"&amp;IF($H15&gt;0," · "&amp;$H15&amp;" Advisory failing",""),IF($H15&gt;0,"PASSED WITH FAILURES — see Failure Log","PASS"))))</f>
        <v/>
      </c>
      <c r="M15" s="16" t="n"/>
    </row>
    <row r="16" ht="18" customHeight="1" s="42">
      <c r="A16" s="17" t="n"/>
      <c r="B16" s="18" t="n"/>
      <c r="C16" s="19" t="n"/>
      <c r="D16" s="19" t="n"/>
      <c r="E16" s="19" t="n"/>
      <c r="F16" s="20">
        <f>IF($A16="","",COUNTIFS('Check Results'!$A$5:$A$600,$A16,'Check Results'!$F$5:$F$600,"Pass")+COUNTIFS('Check Results'!$A$5:$A$600,$A16,'Check Results'!$F$5:$F$600,"Fail")+COUNTIFS('Check Results'!$A$5:$A$600,$A16,'Check Results'!$F$5:$F$600,"N/A"))</f>
        <v/>
      </c>
      <c r="G16" s="20">
        <f>IF($A16="","",COUNTIFS('Check Results'!$A$5:$A$600,$A16,'Check Results'!$F$5:$F$600,"Pass"))</f>
        <v/>
      </c>
      <c r="H16" s="20">
        <f>IF($A16="","",COUNTIFS('Check Results'!$A$5:$A$600,$A16,'Check Results'!$F$5:$F$600,"Fail"))</f>
        <v/>
      </c>
      <c r="I16" s="20">
        <f>IF($A16="","",COUNTIFS('Check Results'!$A$5:$A$600,$A16,'Check Results'!$F$5:$F$600,"N/A"))</f>
        <v/>
      </c>
      <c r="J16" s="21">
        <f>IF($A16="","",COUNTIFS('Check Results'!$A$5:$A$600,$A16,'Check Results'!$F$5:$F$600,"Fail",'Check Results'!$E$5:$E$600,"Blocking"))</f>
        <v/>
      </c>
      <c r="K16" s="22">
        <f>IF($A16="","",IF($G16+$H16=0,0,$G16/($G16+$H16)))</f>
        <v/>
      </c>
      <c r="L16" s="23">
        <f>IF($A16="","",IF($J16&gt;0,"BLOCKED",IF($F16&lt;17,"INCOMPLETE — "&amp;(17-$F16)&amp;" not recorded"&amp;IF($H16&gt;0," · "&amp;$H16&amp;" Advisory failing",""),IF($H16&gt;0,"PASSED WITH FAILURES — see Failure Log","PASS"))))</f>
        <v/>
      </c>
      <c r="M16" s="24" t="n"/>
    </row>
    <row r="17" ht="18" customHeight="1" s="42">
      <c r="A17" s="9" t="n"/>
      <c r="B17" s="10" t="n"/>
      <c r="C17" s="11" t="n"/>
      <c r="D17" s="11" t="n"/>
      <c r="E17" s="11" t="n"/>
      <c r="F17" s="12">
        <f>IF($A17="","",COUNTIFS('Check Results'!$A$5:$A$600,$A17,'Check Results'!$F$5:$F$600,"Pass")+COUNTIFS('Check Results'!$A$5:$A$600,$A17,'Check Results'!$F$5:$F$600,"Fail")+COUNTIFS('Check Results'!$A$5:$A$600,$A17,'Check Results'!$F$5:$F$600,"N/A"))</f>
        <v/>
      </c>
      <c r="G17" s="12">
        <f>IF($A17="","",COUNTIFS('Check Results'!$A$5:$A$600,$A17,'Check Results'!$F$5:$F$600,"Pass"))</f>
        <v/>
      </c>
      <c r="H17" s="12">
        <f>IF($A17="","",COUNTIFS('Check Results'!$A$5:$A$600,$A17,'Check Results'!$F$5:$F$600,"Fail"))</f>
        <v/>
      </c>
      <c r="I17" s="12">
        <f>IF($A17="","",COUNTIFS('Check Results'!$A$5:$A$600,$A17,'Check Results'!$F$5:$F$600,"N/A"))</f>
        <v/>
      </c>
      <c r="J17" s="13">
        <f>IF($A17="","",COUNTIFS('Check Results'!$A$5:$A$600,$A17,'Check Results'!$F$5:$F$600,"Fail",'Check Results'!$E$5:$E$600,"Blocking"))</f>
        <v/>
      </c>
      <c r="K17" s="14">
        <f>IF($A17="","",IF($G17+$H17=0,0,$G17/($G17+$H17)))</f>
        <v/>
      </c>
      <c r="L17" s="15">
        <f>IF($A17="","",IF($J17&gt;0,"BLOCKED",IF($F17&lt;17,"INCOMPLETE — "&amp;(17-$F17)&amp;" not recorded"&amp;IF($H17&gt;0," · "&amp;$H17&amp;" Advisory failing",""),IF($H17&gt;0,"PASSED WITH FAILURES — see Failure Log","PASS"))))</f>
        <v/>
      </c>
      <c r="M17" s="16" t="n"/>
    </row>
    <row r="18" ht="18" customHeight="1" s="42">
      <c r="A18" s="17" t="n"/>
      <c r="B18" s="18" t="n"/>
      <c r="C18" s="19" t="n"/>
      <c r="D18" s="19" t="n"/>
      <c r="E18" s="19" t="n"/>
      <c r="F18" s="20">
        <f>IF($A18="","",COUNTIFS('Check Results'!$A$5:$A$600,$A18,'Check Results'!$F$5:$F$600,"Pass")+COUNTIFS('Check Results'!$A$5:$A$600,$A18,'Check Results'!$F$5:$F$600,"Fail")+COUNTIFS('Check Results'!$A$5:$A$600,$A18,'Check Results'!$F$5:$F$600,"N/A"))</f>
        <v/>
      </c>
      <c r="G18" s="20">
        <f>IF($A18="","",COUNTIFS('Check Results'!$A$5:$A$600,$A18,'Check Results'!$F$5:$F$600,"Pass"))</f>
        <v/>
      </c>
      <c r="H18" s="20">
        <f>IF($A18="","",COUNTIFS('Check Results'!$A$5:$A$600,$A18,'Check Results'!$F$5:$F$600,"Fail"))</f>
        <v/>
      </c>
      <c r="I18" s="20">
        <f>IF($A18="","",COUNTIFS('Check Results'!$A$5:$A$600,$A18,'Check Results'!$F$5:$F$600,"N/A"))</f>
        <v/>
      </c>
      <c r="J18" s="21">
        <f>IF($A18="","",COUNTIFS('Check Results'!$A$5:$A$600,$A18,'Check Results'!$F$5:$F$600,"Fail",'Check Results'!$E$5:$E$600,"Blocking"))</f>
        <v/>
      </c>
      <c r="K18" s="22">
        <f>IF($A18="","",IF($G18+$H18=0,0,$G18/($G18+$H18)))</f>
        <v/>
      </c>
      <c r="L18" s="23">
        <f>IF($A18="","",IF($J18&gt;0,"BLOCKED",IF($F18&lt;17,"INCOMPLETE — "&amp;(17-$F18)&amp;" not recorded"&amp;IF($H18&gt;0," · "&amp;$H18&amp;" Advisory failing",""),IF($H18&gt;0,"PASSED WITH FAILURES — see Failure Log","PASS"))))</f>
        <v/>
      </c>
      <c r="M18" s="24" t="n"/>
    </row>
    <row r="19" ht="18" customHeight="1" s="42">
      <c r="A19" s="9" t="n"/>
      <c r="B19" s="10" t="n"/>
      <c r="C19" s="11" t="n"/>
      <c r="D19" s="11" t="n"/>
      <c r="E19" s="11" t="n"/>
      <c r="F19" s="12">
        <f>IF($A19="","",COUNTIFS('Check Results'!$A$5:$A$600,$A19,'Check Results'!$F$5:$F$600,"Pass")+COUNTIFS('Check Results'!$A$5:$A$600,$A19,'Check Results'!$F$5:$F$600,"Fail")+COUNTIFS('Check Results'!$A$5:$A$600,$A19,'Check Results'!$F$5:$F$600,"N/A"))</f>
        <v/>
      </c>
      <c r="G19" s="12">
        <f>IF($A19="","",COUNTIFS('Check Results'!$A$5:$A$600,$A19,'Check Results'!$F$5:$F$600,"Pass"))</f>
        <v/>
      </c>
      <c r="H19" s="12">
        <f>IF($A19="","",COUNTIFS('Check Results'!$A$5:$A$600,$A19,'Check Results'!$F$5:$F$600,"Fail"))</f>
        <v/>
      </c>
      <c r="I19" s="12">
        <f>IF($A19="","",COUNTIFS('Check Results'!$A$5:$A$600,$A19,'Check Results'!$F$5:$F$600,"N/A"))</f>
        <v/>
      </c>
      <c r="J19" s="13">
        <f>IF($A19="","",COUNTIFS('Check Results'!$A$5:$A$600,$A19,'Check Results'!$F$5:$F$600,"Fail",'Check Results'!$E$5:$E$600,"Blocking"))</f>
        <v/>
      </c>
      <c r="K19" s="14">
        <f>IF($A19="","",IF($G19+$H19=0,0,$G19/($G19+$H19)))</f>
        <v/>
      </c>
      <c r="L19" s="15">
        <f>IF($A19="","",IF($J19&gt;0,"BLOCKED",IF($F19&lt;17,"INCOMPLETE — "&amp;(17-$F19)&amp;" not recorded"&amp;IF($H19&gt;0," · "&amp;$H19&amp;" Advisory failing",""),IF($H19&gt;0,"PASSED WITH FAILURES — see Failure Log","PASS"))))</f>
        <v/>
      </c>
      <c r="M19" s="16" t="n"/>
    </row>
    <row r="20" ht="18" customHeight="1" s="42">
      <c r="A20" s="17" t="n"/>
      <c r="B20" s="18" t="n"/>
      <c r="C20" s="19" t="n"/>
      <c r="D20" s="19" t="n"/>
      <c r="E20" s="19" t="n"/>
      <c r="F20" s="20">
        <f>IF($A20="","",COUNTIFS('Check Results'!$A$5:$A$600,$A20,'Check Results'!$F$5:$F$600,"Pass")+COUNTIFS('Check Results'!$A$5:$A$600,$A20,'Check Results'!$F$5:$F$600,"Fail")+COUNTIFS('Check Results'!$A$5:$A$600,$A20,'Check Results'!$F$5:$F$600,"N/A"))</f>
        <v/>
      </c>
      <c r="G20" s="20">
        <f>IF($A20="","",COUNTIFS('Check Results'!$A$5:$A$600,$A20,'Check Results'!$F$5:$F$600,"Pass"))</f>
        <v/>
      </c>
      <c r="H20" s="20">
        <f>IF($A20="","",COUNTIFS('Check Results'!$A$5:$A$600,$A20,'Check Results'!$F$5:$F$600,"Fail"))</f>
        <v/>
      </c>
      <c r="I20" s="20">
        <f>IF($A20="","",COUNTIFS('Check Results'!$A$5:$A$600,$A20,'Check Results'!$F$5:$F$600,"N/A"))</f>
        <v/>
      </c>
      <c r="J20" s="21">
        <f>IF($A20="","",COUNTIFS('Check Results'!$A$5:$A$600,$A20,'Check Results'!$F$5:$F$600,"Fail",'Check Results'!$E$5:$E$600,"Blocking"))</f>
        <v/>
      </c>
      <c r="K20" s="22">
        <f>IF($A20="","",IF($G20+$H20=0,0,$G20/($G20+$H20)))</f>
        <v/>
      </c>
      <c r="L20" s="23">
        <f>IF($A20="","",IF($J20&gt;0,"BLOCKED",IF($F20&lt;17,"INCOMPLETE — "&amp;(17-$F20)&amp;" not recorded"&amp;IF($H20&gt;0," · "&amp;$H20&amp;" Advisory failing",""),IF($H20&gt;0,"PASSED WITH FAILURES — see Failure Log","PASS"))))</f>
        <v/>
      </c>
      <c r="M20" s="24" t="n"/>
    </row>
    <row r="21" ht="18" customHeight="1" s="42">
      <c r="A21" s="9" t="n"/>
      <c r="B21" s="10" t="n"/>
      <c r="C21" s="11" t="n"/>
      <c r="D21" s="11" t="n"/>
      <c r="E21" s="11" t="n"/>
      <c r="F21" s="12">
        <f>IF($A21="","",COUNTIFS('Check Results'!$A$5:$A$600,$A21,'Check Results'!$F$5:$F$600,"Pass")+COUNTIFS('Check Results'!$A$5:$A$600,$A21,'Check Results'!$F$5:$F$600,"Fail")+COUNTIFS('Check Results'!$A$5:$A$600,$A21,'Check Results'!$F$5:$F$600,"N/A"))</f>
        <v/>
      </c>
      <c r="G21" s="12">
        <f>IF($A21="","",COUNTIFS('Check Results'!$A$5:$A$600,$A21,'Check Results'!$F$5:$F$600,"Pass"))</f>
        <v/>
      </c>
      <c r="H21" s="12">
        <f>IF($A21="","",COUNTIFS('Check Results'!$A$5:$A$600,$A21,'Check Results'!$F$5:$F$600,"Fail"))</f>
        <v/>
      </c>
      <c r="I21" s="12">
        <f>IF($A21="","",COUNTIFS('Check Results'!$A$5:$A$600,$A21,'Check Results'!$F$5:$F$600,"N/A"))</f>
        <v/>
      </c>
      <c r="J21" s="13">
        <f>IF($A21="","",COUNTIFS('Check Results'!$A$5:$A$600,$A21,'Check Results'!$F$5:$F$600,"Fail",'Check Results'!$E$5:$E$600,"Blocking"))</f>
        <v/>
      </c>
      <c r="K21" s="14">
        <f>IF($A21="","",IF($G21+$H21=0,0,$G21/($G21+$H21)))</f>
        <v/>
      </c>
      <c r="L21" s="15">
        <f>IF($A21="","",IF($J21&gt;0,"BLOCKED",IF($F21&lt;17,"INCOMPLETE — "&amp;(17-$F21)&amp;" not recorded"&amp;IF($H21&gt;0," · "&amp;$H21&amp;" Advisory failing",""),IF($H21&gt;0,"PASSED WITH FAILURES — see Failure Log","PASS"))))</f>
        <v/>
      </c>
      <c r="M21" s="16" t="n"/>
    </row>
    <row r="22" ht="18" customHeight="1" s="42">
      <c r="A22" s="17" t="n"/>
      <c r="B22" s="18" t="n"/>
      <c r="C22" s="19" t="n"/>
      <c r="D22" s="19" t="n"/>
      <c r="E22" s="19" t="n"/>
      <c r="F22" s="20">
        <f>IF($A22="","",COUNTIFS('Check Results'!$A$5:$A$600,$A22,'Check Results'!$F$5:$F$600,"Pass")+COUNTIFS('Check Results'!$A$5:$A$600,$A22,'Check Results'!$F$5:$F$600,"Fail")+COUNTIFS('Check Results'!$A$5:$A$600,$A22,'Check Results'!$F$5:$F$600,"N/A"))</f>
        <v/>
      </c>
      <c r="G22" s="20">
        <f>IF($A22="","",COUNTIFS('Check Results'!$A$5:$A$600,$A22,'Check Results'!$F$5:$F$600,"Pass"))</f>
        <v/>
      </c>
      <c r="H22" s="20">
        <f>IF($A22="","",COUNTIFS('Check Results'!$A$5:$A$600,$A22,'Check Results'!$F$5:$F$600,"Fail"))</f>
        <v/>
      </c>
      <c r="I22" s="20">
        <f>IF($A22="","",COUNTIFS('Check Results'!$A$5:$A$600,$A22,'Check Results'!$F$5:$F$600,"N/A"))</f>
        <v/>
      </c>
      <c r="J22" s="21">
        <f>IF($A22="","",COUNTIFS('Check Results'!$A$5:$A$600,$A22,'Check Results'!$F$5:$F$600,"Fail",'Check Results'!$E$5:$E$600,"Blocking"))</f>
        <v/>
      </c>
      <c r="K22" s="22">
        <f>IF($A22="","",IF($G22+$H22=0,0,$G22/($G22+$H22)))</f>
        <v/>
      </c>
      <c r="L22" s="23">
        <f>IF($A22="","",IF($J22&gt;0,"BLOCKED",IF($F22&lt;17,"INCOMPLETE — "&amp;(17-$F22)&amp;" not recorded"&amp;IF($H22&gt;0," · "&amp;$H22&amp;" Advisory failing",""),IF($H22&gt;0,"PASSED WITH FAILURES — see Failure Log","PASS"))))</f>
        <v/>
      </c>
      <c r="M22" s="24" t="n"/>
    </row>
    <row r="23" ht="18" customHeight="1" s="42">
      <c r="A23" s="9" t="n"/>
      <c r="B23" s="10" t="n"/>
      <c r="C23" s="11" t="n"/>
      <c r="D23" s="11" t="n"/>
      <c r="E23" s="11" t="n"/>
      <c r="F23" s="12">
        <f>IF($A23="","",COUNTIFS('Check Results'!$A$5:$A$600,$A23,'Check Results'!$F$5:$F$600,"Pass")+COUNTIFS('Check Results'!$A$5:$A$600,$A23,'Check Results'!$F$5:$F$600,"Fail")+COUNTIFS('Check Results'!$A$5:$A$600,$A23,'Check Results'!$F$5:$F$600,"N/A"))</f>
        <v/>
      </c>
      <c r="G23" s="12">
        <f>IF($A23="","",COUNTIFS('Check Results'!$A$5:$A$600,$A23,'Check Results'!$F$5:$F$600,"Pass"))</f>
        <v/>
      </c>
      <c r="H23" s="12">
        <f>IF($A23="","",COUNTIFS('Check Results'!$A$5:$A$600,$A23,'Check Results'!$F$5:$F$600,"Fail"))</f>
        <v/>
      </c>
      <c r="I23" s="12">
        <f>IF($A23="","",COUNTIFS('Check Results'!$A$5:$A$600,$A23,'Check Results'!$F$5:$F$600,"N/A"))</f>
        <v/>
      </c>
      <c r="J23" s="13">
        <f>IF($A23="","",COUNTIFS('Check Results'!$A$5:$A$600,$A23,'Check Results'!$F$5:$F$600,"Fail",'Check Results'!$E$5:$E$600,"Blocking"))</f>
        <v/>
      </c>
      <c r="K23" s="14">
        <f>IF($A23="","",IF($G23+$H23=0,0,$G23/($G23+$H23)))</f>
        <v/>
      </c>
      <c r="L23" s="15">
        <f>IF($A23="","",IF($J23&gt;0,"BLOCKED",IF($F23&lt;17,"INCOMPLETE — "&amp;(17-$F23)&amp;" not recorded"&amp;IF($H23&gt;0," · "&amp;$H23&amp;" Advisory failing",""),IF($H23&gt;0,"PASSED WITH FAILURES — see Failure Log","PASS"))))</f>
        <v/>
      </c>
      <c r="M23" s="16" t="n"/>
    </row>
    <row r="24" ht="18" customHeight="1" s="42">
      <c r="A24" s="17" t="n"/>
      <c r="B24" s="18" t="n"/>
      <c r="C24" s="19" t="n"/>
      <c r="D24" s="19" t="n"/>
      <c r="E24" s="19" t="n"/>
      <c r="F24" s="20">
        <f>IF($A24="","",COUNTIFS('Check Results'!$A$5:$A$600,$A24,'Check Results'!$F$5:$F$600,"Pass")+COUNTIFS('Check Results'!$A$5:$A$600,$A24,'Check Results'!$F$5:$F$600,"Fail")+COUNTIFS('Check Results'!$A$5:$A$600,$A24,'Check Results'!$F$5:$F$600,"N/A"))</f>
        <v/>
      </c>
      <c r="G24" s="20">
        <f>IF($A24="","",COUNTIFS('Check Results'!$A$5:$A$600,$A24,'Check Results'!$F$5:$F$600,"Pass"))</f>
        <v/>
      </c>
      <c r="H24" s="20">
        <f>IF($A24="","",COUNTIFS('Check Results'!$A$5:$A$600,$A24,'Check Results'!$F$5:$F$600,"Fail"))</f>
        <v/>
      </c>
      <c r="I24" s="20">
        <f>IF($A24="","",COUNTIFS('Check Results'!$A$5:$A$600,$A24,'Check Results'!$F$5:$F$600,"N/A"))</f>
        <v/>
      </c>
      <c r="J24" s="21">
        <f>IF($A24="","",COUNTIFS('Check Results'!$A$5:$A$600,$A24,'Check Results'!$F$5:$F$600,"Fail",'Check Results'!$E$5:$E$600,"Blocking"))</f>
        <v/>
      </c>
      <c r="K24" s="22">
        <f>IF($A24="","",IF($G24+$H24=0,0,$G24/($G24+$H24)))</f>
        <v/>
      </c>
      <c r="L24" s="23">
        <f>IF($A24="","",IF($J24&gt;0,"BLOCKED",IF($F24&lt;17,"INCOMPLETE — "&amp;(17-$F24)&amp;" not recorded"&amp;IF($H24&gt;0," · "&amp;$H24&amp;" Advisory failing",""),IF($H24&gt;0,"PASSED WITH FAILURES — see Failure Log","PASS"))))</f>
        <v/>
      </c>
      <c r="M24" s="24" t="n"/>
    </row>
    <row r="25" ht="18" customHeight="1" s="42">
      <c r="A25" s="9" t="n"/>
      <c r="B25" s="10" t="n"/>
      <c r="C25" s="11" t="n"/>
      <c r="D25" s="11" t="n"/>
      <c r="E25" s="11" t="n"/>
      <c r="F25" s="12">
        <f>IF($A25="","",COUNTIFS('Check Results'!$A$5:$A$600,$A25,'Check Results'!$F$5:$F$600,"Pass")+COUNTIFS('Check Results'!$A$5:$A$600,$A25,'Check Results'!$F$5:$F$600,"Fail")+COUNTIFS('Check Results'!$A$5:$A$600,$A25,'Check Results'!$F$5:$F$600,"N/A"))</f>
        <v/>
      </c>
      <c r="G25" s="12">
        <f>IF($A25="","",COUNTIFS('Check Results'!$A$5:$A$600,$A25,'Check Results'!$F$5:$F$600,"Pass"))</f>
        <v/>
      </c>
      <c r="H25" s="12">
        <f>IF($A25="","",COUNTIFS('Check Results'!$A$5:$A$600,$A25,'Check Results'!$F$5:$F$600,"Fail"))</f>
        <v/>
      </c>
      <c r="I25" s="12">
        <f>IF($A25="","",COUNTIFS('Check Results'!$A$5:$A$600,$A25,'Check Results'!$F$5:$F$600,"N/A"))</f>
        <v/>
      </c>
      <c r="J25" s="13">
        <f>IF($A25="","",COUNTIFS('Check Results'!$A$5:$A$600,$A25,'Check Results'!$F$5:$F$600,"Fail",'Check Results'!$E$5:$E$600,"Blocking"))</f>
        <v/>
      </c>
      <c r="K25" s="14">
        <f>IF($A25="","",IF($G25+$H25=0,0,$G25/($G25+$H25)))</f>
        <v/>
      </c>
      <c r="L25" s="15">
        <f>IF($A25="","",IF($J25&gt;0,"BLOCKED",IF($F25&lt;17,"INCOMPLETE — "&amp;(17-$F25)&amp;" not recorded"&amp;IF($H25&gt;0," · "&amp;$H25&amp;" Advisory failing",""),IF($H25&gt;0,"PASSED WITH FAILURES — see Failure Log","PASS"))))</f>
        <v/>
      </c>
      <c r="M25" s="16" t="n"/>
    </row>
    <row r="26" ht="18" customHeight="1" s="42">
      <c r="A26" s="17" t="n"/>
      <c r="B26" s="18" t="n"/>
      <c r="C26" s="19" t="n"/>
      <c r="D26" s="19" t="n"/>
      <c r="E26" s="19" t="n"/>
      <c r="F26" s="20">
        <f>IF($A26="","",COUNTIFS('Check Results'!$A$5:$A$600,$A26,'Check Results'!$F$5:$F$600,"Pass")+COUNTIFS('Check Results'!$A$5:$A$600,$A26,'Check Results'!$F$5:$F$600,"Fail")+COUNTIFS('Check Results'!$A$5:$A$600,$A26,'Check Results'!$F$5:$F$600,"N/A"))</f>
        <v/>
      </c>
      <c r="G26" s="20">
        <f>IF($A26="","",COUNTIFS('Check Results'!$A$5:$A$600,$A26,'Check Results'!$F$5:$F$600,"Pass"))</f>
        <v/>
      </c>
      <c r="H26" s="20">
        <f>IF($A26="","",COUNTIFS('Check Results'!$A$5:$A$600,$A26,'Check Results'!$F$5:$F$600,"Fail"))</f>
        <v/>
      </c>
      <c r="I26" s="20">
        <f>IF($A26="","",COUNTIFS('Check Results'!$A$5:$A$600,$A26,'Check Results'!$F$5:$F$600,"N/A"))</f>
        <v/>
      </c>
      <c r="J26" s="21">
        <f>IF($A26="","",COUNTIFS('Check Results'!$A$5:$A$600,$A26,'Check Results'!$F$5:$F$600,"Fail",'Check Results'!$E$5:$E$600,"Blocking"))</f>
        <v/>
      </c>
      <c r="K26" s="22">
        <f>IF($A26="","",IF($G26+$H26=0,0,$G26/($G26+$H26)))</f>
        <v/>
      </c>
      <c r="L26" s="23">
        <f>IF($A26="","",IF($J26&gt;0,"BLOCKED",IF($F26&lt;17,"INCOMPLETE — "&amp;(17-$F26)&amp;" not recorded"&amp;IF($H26&gt;0," · "&amp;$H26&amp;" Advisory failing",""),IF($H26&gt;0,"PASSED WITH FAILURES — see Failure Log","PASS"))))</f>
        <v/>
      </c>
      <c r="M26" s="24" t="n"/>
    </row>
    <row r="27" ht="18" customHeight="1" s="42">
      <c r="A27" s="9" t="n"/>
      <c r="B27" s="10" t="n"/>
      <c r="C27" s="11" t="n"/>
      <c r="D27" s="11" t="n"/>
      <c r="E27" s="11" t="n"/>
      <c r="F27" s="12">
        <f>IF($A27="","",COUNTIFS('Check Results'!$A$5:$A$600,$A27,'Check Results'!$F$5:$F$600,"Pass")+COUNTIFS('Check Results'!$A$5:$A$600,$A27,'Check Results'!$F$5:$F$600,"Fail")+COUNTIFS('Check Results'!$A$5:$A$600,$A27,'Check Results'!$F$5:$F$600,"N/A"))</f>
        <v/>
      </c>
      <c r="G27" s="12">
        <f>IF($A27="","",COUNTIFS('Check Results'!$A$5:$A$600,$A27,'Check Results'!$F$5:$F$600,"Pass"))</f>
        <v/>
      </c>
      <c r="H27" s="12">
        <f>IF($A27="","",COUNTIFS('Check Results'!$A$5:$A$600,$A27,'Check Results'!$F$5:$F$600,"Fail"))</f>
        <v/>
      </c>
      <c r="I27" s="12">
        <f>IF($A27="","",COUNTIFS('Check Results'!$A$5:$A$600,$A27,'Check Results'!$F$5:$F$600,"N/A"))</f>
        <v/>
      </c>
      <c r="J27" s="13">
        <f>IF($A27="","",COUNTIFS('Check Results'!$A$5:$A$600,$A27,'Check Results'!$F$5:$F$600,"Fail",'Check Results'!$E$5:$E$600,"Blocking"))</f>
        <v/>
      </c>
      <c r="K27" s="14">
        <f>IF($A27="","",IF($G27+$H27=0,0,$G27/($G27+$H27)))</f>
        <v/>
      </c>
      <c r="L27" s="15">
        <f>IF($A27="","",IF($J27&gt;0,"BLOCKED",IF($F27&lt;17,"INCOMPLETE — "&amp;(17-$F27)&amp;" not recorded"&amp;IF($H27&gt;0," · "&amp;$H27&amp;" Advisory failing",""),IF($H27&gt;0,"PASSED WITH FAILURES — see Failure Log","PASS"))))</f>
        <v/>
      </c>
      <c r="M27" s="16" t="n"/>
    </row>
    <row r="28" ht="18" customHeight="1" s="42">
      <c r="A28" s="17" t="n"/>
      <c r="B28" s="18" t="n"/>
      <c r="C28" s="19" t="n"/>
      <c r="D28" s="19" t="n"/>
      <c r="E28" s="19" t="n"/>
      <c r="F28" s="20">
        <f>IF($A28="","",COUNTIFS('Check Results'!$A$5:$A$600,$A28,'Check Results'!$F$5:$F$600,"Pass")+COUNTIFS('Check Results'!$A$5:$A$600,$A28,'Check Results'!$F$5:$F$600,"Fail")+COUNTIFS('Check Results'!$A$5:$A$600,$A28,'Check Results'!$F$5:$F$600,"N/A"))</f>
        <v/>
      </c>
      <c r="G28" s="20">
        <f>IF($A28="","",COUNTIFS('Check Results'!$A$5:$A$600,$A28,'Check Results'!$F$5:$F$600,"Pass"))</f>
        <v/>
      </c>
      <c r="H28" s="20">
        <f>IF($A28="","",COUNTIFS('Check Results'!$A$5:$A$600,$A28,'Check Results'!$F$5:$F$600,"Fail"))</f>
        <v/>
      </c>
      <c r="I28" s="20">
        <f>IF($A28="","",COUNTIFS('Check Results'!$A$5:$A$600,$A28,'Check Results'!$F$5:$F$600,"N/A"))</f>
        <v/>
      </c>
      <c r="J28" s="21">
        <f>IF($A28="","",COUNTIFS('Check Results'!$A$5:$A$600,$A28,'Check Results'!$F$5:$F$600,"Fail",'Check Results'!$E$5:$E$600,"Blocking"))</f>
        <v/>
      </c>
      <c r="K28" s="22">
        <f>IF($A28="","",IF($G28+$H28=0,0,$G28/($G28+$H28)))</f>
        <v/>
      </c>
      <c r="L28" s="23">
        <f>IF($A28="","",IF($J28&gt;0,"BLOCKED",IF($F28&lt;17,"INCOMPLETE — "&amp;(17-$F28)&amp;" not recorded"&amp;IF($H28&gt;0," · "&amp;$H28&amp;" Advisory failing",""),IF($H28&gt;0,"PASSED WITH FAILURES — see Failure Log","PASS"))))</f>
        <v/>
      </c>
      <c r="M28" s="24" t="n"/>
    </row>
    <row r="29" ht="18" customHeight="1" s="42">
      <c r="A29" s="9" t="n"/>
      <c r="B29" s="10" t="n"/>
      <c r="C29" s="11" t="n"/>
      <c r="D29" s="11" t="n"/>
      <c r="E29" s="11" t="n"/>
      <c r="F29" s="12">
        <f>IF($A29="","",COUNTIFS('Check Results'!$A$5:$A$600,$A29,'Check Results'!$F$5:$F$600,"Pass")+COUNTIFS('Check Results'!$A$5:$A$600,$A29,'Check Results'!$F$5:$F$600,"Fail")+COUNTIFS('Check Results'!$A$5:$A$600,$A29,'Check Results'!$F$5:$F$600,"N/A"))</f>
        <v/>
      </c>
      <c r="G29" s="12">
        <f>IF($A29="","",COUNTIFS('Check Results'!$A$5:$A$600,$A29,'Check Results'!$F$5:$F$600,"Pass"))</f>
        <v/>
      </c>
      <c r="H29" s="12">
        <f>IF($A29="","",COUNTIFS('Check Results'!$A$5:$A$600,$A29,'Check Results'!$F$5:$F$600,"Fail"))</f>
        <v/>
      </c>
      <c r="I29" s="12">
        <f>IF($A29="","",COUNTIFS('Check Results'!$A$5:$A$600,$A29,'Check Results'!$F$5:$F$600,"N/A"))</f>
        <v/>
      </c>
      <c r="J29" s="13">
        <f>IF($A29="","",COUNTIFS('Check Results'!$A$5:$A$600,$A29,'Check Results'!$F$5:$F$600,"Fail",'Check Results'!$E$5:$E$600,"Blocking"))</f>
        <v/>
      </c>
      <c r="K29" s="14">
        <f>IF($A29="","",IF($G29+$H29=0,0,$G29/($G29+$H29)))</f>
        <v/>
      </c>
      <c r="L29" s="15">
        <f>IF($A29="","",IF($J29&gt;0,"BLOCKED",IF($F29&lt;17,"INCOMPLETE — "&amp;(17-$F29)&amp;" not recorded"&amp;IF($H29&gt;0," · "&amp;$H29&amp;" Advisory failing",""),IF($H29&gt;0,"PASSED WITH FAILURES — see Failure Log","PASS"))))</f>
        <v/>
      </c>
      <c r="M29" s="16" t="n"/>
    </row>
    <row r="30" ht="18" customHeight="1" s="42">
      <c r="A30" s="17" t="n"/>
      <c r="B30" s="18" t="n"/>
      <c r="C30" s="19" t="n"/>
      <c r="D30" s="19" t="n"/>
      <c r="E30" s="19" t="n"/>
      <c r="F30" s="20">
        <f>IF($A30="","",COUNTIFS('Check Results'!$A$5:$A$600,$A30,'Check Results'!$F$5:$F$600,"Pass")+COUNTIFS('Check Results'!$A$5:$A$600,$A30,'Check Results'!$F$5:$F$600,"Fail")+COUNTIFS('Check Results'!$A$5:$A$600,$A30,'Check Results'!$F$5:$F$600,"N/A"))</f>
        <v/>
      </c>
      <c r="G30" s="20">
        <f>IF($A30="","",COUNTIFS('Check Results'!$A$5:$A$600,$A30,'Check Results'!$F$5:$F$600,"Pass"))</f>
        <v/>
      </c>
      <c r="H30" s="20">
        <f>IF($A30="","",COUNTIFS('Check Results'!$A$5:$A$600,$A30,'Check Results'!$F$5:$F$600,"Fail"))</f>
        <v/>
      </c>
      <c r="I30" s="20">
        <f>IF($A30="","",COUNTIFS('Check Results'!$A$5:$A$600,$A30,'Check Results'!$F$5:$F$600,"N/A"))</f>
        <v/>
      </c>
      <c r="J30" s="21">
        <f>IF($A30="","",COUNTIFS('Check Results'!$A$5:$A$600,$A30,'Check Results'!$F$5:$F$600,"Fail",'Check Results'!$E$5:$E$600,"Blocking"))</f>
        <v/>
      </c>
      <c r="K30" s="22">
        <f>IF($A30="","",IF($G30+$H30=0,0,$G30/($G30+$H30)))</f>
        <v/>
      </c>
      <c r="L30" s="23">
        <f>IF($A30="","",IF($J30&gt;0,"BLOCKED",IF($F30&lt;17,"INCOMPLETE — "&amp;(17-$F30)&amp;" not recorded"&amp;IF($H30&gt;0," · "&amp;$H30&amp;" Advisory failing",""),IF($H30&gt;0,"PASSED WITH FAILURES — see Failure Log","PASS"))))</f>
        <v/>
      </c>
      <c r="M30" s="24" t="n"/>
    </row>
    <row r="31" ht="18" customHeight="1" s="42">
      <c r="A31" s="9" t="n"/>
      <c r="B31" s="10" t="n"/>
      <c r="C31" s="11" t="n"/>
      <c r="D31" s="11" t="n"/>
      <c r="E31" s="11" t="n"/>
      <c r="F31" s="12">
        <f>IF($A31="","",COUNTIFS('Check Results'!$A$5:$A$600,$A31,'Check Results'!$F$5:$F$600,"Pass")+COUNTIFS('Check Results'!$A$5:$A$600,$A31,'Check Results'!$F$5:$F$600,"Fail")+COUNTIFS('Check Results'!$A$5:$A$600,$A31,'Check Results'!$F$5:$F$600,"N/A"))</f>
        <v/>
      </c>
      <c r="G31" s="12">
        <f>IF($A31="","",COUNTIFS('Check Results'!$A$5:$A$600,$A31,'Check Results'!$F$5:$F$600,"Pass"))</f>
        <v/>
      </c>
      <c r="H31" s="12">
        <f>IF($A31="","",COUNTIFS('Check Results'!$A$5:$A$600,$A31,'Check Results'!$F$5:$F$600,"Fail"))</f>
        <v/>
      </c>
      <c r="I31" s="12">
        <f>IF($A31="","",COUNTIFS('Check Results'!$A$5:$A$600,$A31,'Check Results'!$F$5:$F$600,"N/A"))</f>
        <v/>
      </c>
      <c r="J31" s="13">
        <f>IF($A31="","",COUNTIFS('Check Results'!$A$5:$A$600,$A31,'Check Results'!$F$5:$F$600,"Fail",'Check Results'!$E$5:$E$600,"Blocking"))</f>
        <v/>
      </c>
      <c r="K31" s="14">
        <f>IF($A31="","",IF($G31+$H31=0,0,$G31/($G31+$H31)))</f>
        <v/>
      </c>
      <c r="L31" s="15">
        <f>IF($A31="","",IF($J31&gt;0,"BLOCKED",IF($F31&lt;17,"INCOMPLETE — "&amp;(17-$F31)&amp;" not recorded"&amp;IF($H31&gt;0," · "&amp;$H31&amp;" Advisory failing",""),IF($H31&gt;0,"PASSED WITH FAILURES — see Failure Log","PASS"))))</f>
        <v/>
      </c>
      <c r="M31" s="16" t="n"/>
    </row>
    <row r="32" ht="18" customHeight="1" s="42">
      <c r="A32" s="17" t="n"/>
      <c r="B32" s="18" t="n"/>
      <c r="C32" s="19" t="n"/>
      <c r="D32" s="19" t="n"/>
      <c r="E32" s="19" t="n"/>
      <c r="F32" s="20">
        <f>IF($A32="","",COUNTIFS('Check Results'!$A$5:$A$600,$A32,'Check Results'!$F$5:$F$600,"Pass")+COUNTIFS('Check Results'!$A$5:$A$600,$A32,'Check Results'!$F$5:$F$600,"Fail")+COUNTIFS('Check Results'!$A$5:$A$600,$A32,'Check Results'!$F$5:$F$600,"N/A"))</f>
        <v/>
      </c>
      <c r="G32" s="20">
        <f>IF($A32="","",COUNTIFS('Check Results'!$A$5:$A$600,$A32,'Check Results'!$F$5:$F$600,"Pass"))</f>
        <v/>
      </c>
      <c r="H32" s="20">
        <f>IF($A32="","",COUNTIFS('Check Results'!$A$5:$A$600,$A32,'Check Results'!$F$5:$F$600,"Fail"))</f>
        <v/>
      </c>
      <c r="I32" s="20">
        <f>IF($A32="","",COUNTIFS('Check Results'!$A$5:$A$600,$A32,'Check Results'!$F$5:$F$600,"N/A"))</f>
        <v/>
      </c>
      <c r="J32" s="21">
        <f>IF($A32="","",COUNTIFS('Check Results'!$A$5:$A$600,$A32,'Check Results'!$F$5:$F$600,"Fail",'Check Results'!$E$5:$E$600,"Blocking"))</f>
        <v/>
      </c>
      <c r="K32" s="22">
        <f>IF($A32="","",IF($G32+$H32=0,0,$G32/($G32+$H32)))</f>
        <v/>
      </c>
      <c r="L32" s="23">
        <f>IF($A32="","",IF($J32&gt;0,"BLOCKED",IF($F32&lt;17,"INCOMPLETE — "&amp;(17-$F32)&amp;" not recorded"&amp;IF($H32&gt;0," · "&amp;$H32&amp;" Advisory failing",""),IF($H32&gt;0,"PASSED WITH FAILURES — see Failure Log","PASS"))))</f>
        <v/>
      </c>
      <c r="M32" s="24" t="n"/>
    </row>
    <row r="33" ht="18" customHeight="1" s="42">
      <c r="A33" s="9" t="n"/>
      <c r="B33" s="10" t="n"/>
      <c r="C33" s="11" t="n"/>
      <c r="D33" s="11" t="n"/>
      <c r="E33" s="11" t="n"/>
      <c r="F33" s="12">
        <f>IF($A33="","",COUNTIFS('Check Results'!$A$5:$A$600,$A33,'Check Results'!$F$5:$F$600,"Pass")+COUNTIFS('Check Results'!$A$5:$A$600,$A33,'Check Results'!$F$5:$F$600,"Fail")+COUNTIFS('Check Results'!$A$5:$A$600,$A33,'Check Results'!$F$5:$F$600,"N/A"))</f>
        <v/>
      </c>
      <c r="G33" s="12">
        <f>IF($A33="","",COUNTIFS('Check Results'!$A$5:$A$600,$A33,'Check Results'!$F$5:$F$600,"Pass"))</f>
        <v/>
      </c>
      <c r="H33" s="12">
        <f>IF($A33="","",COUNTIFS('Check Results'!$A$5:$A$600,$A33,'Check Results'!$F$5:$F$600,"Fail"))</f>
        <v/>
      </c>
      <c r="I33" s="12">
        <f>IF($A33="","",COUNTIFS('Check Results'!$A$5:$A$600,$A33,'Check Results'!$F$5:$F$600,"N/A"))</f>
        <v/>
      </c>
      <c r="J33" s="13">
        <f>IF($A33="","",COUNTIFS('Check Results'!$A$5:$A$600,$A33,'Check Results'!$F$5:$F$600,"Fail",'Check Results'!$E$5:$E$600,"Blocking"))</f>
        <v/>
      </c>
      <c r="K33" s="14">
        <f>IF($A33="","",IF($G33+$H33=0,0,$G33/($G33+$H33)))</f>
        <v/>
      </c>
      <c r="L33" s="15">
        <f>IF($A33="","",IF($J33&gt;0,"BLOCKED",IF($F33&lt;17,"INCOMPLETE — "&amp;(17-$F33)&amp;" not recorded"&amp;IF($H33&gt;0," · "&amp;$H33&amp;" Advisory failing",""),IF($H33&gt;0,"PASSED WITH FAILURES — see Failure Log","PASS"))))</f>
        <v/>
      </c>
      <c r="M33" s="16" t="n"/>
    </row>
    <row r="34" ht="18" customHeight="1" s="42">
      <c r="A34" s="17" t="n"/>
      <c r="B34" s="18" t="n"/>
      <c r="C34" s="19" t="n"/>
      <c r="D34" s="19" t="n"/>
      <c r="E34" s="19" t="n"/>
      <c r="F34" s="20">
        <f>IF($A34="","",COUNTIFS('Check Results'!$A$5:$A$600,$A34,'Check Results'!$F$5:$F$600,"Pass")+COUNTIFS('Check Results'!$A$5:$A$600,$A34,'Check Results'!$F$5:$F$600,"Fail")+COUNTIFS('Check Results'!$A$5:$A$600,$A34,'Check Results'!$F$5:$F$600,"N/A"))</f>
        <v/>
      </c>
      <c r="G34" s="20">
        <f>IF($A34="","",COUNTIFS('Check Results'!$A$5:$A$600,$A34,'Check Results'!$F$5:$F$600,"Pass"))</f>
        <v/>
      </c>
      <c r="H34" s="20">
        <f>IF($A34="","",COUNTIFS('Check Results'!$A$5:$A$600,$A34,'Check Results'!$F$5:$F$600,"Fail"))</f>
        <v/>
      </c>
      <c r="I34" s="20">
        <f>IF($A34="","",COUNTIFS('Check Results'!$A$5:$A$600,$A34,'Check Results'!$F$5:$F$600,"N/A"))</f>
        <v/>
      </c>
      <c r="J34" s="21">
        <f>IF($A34="","",COUNTIFS('Check Results'!$A$5:$A$600,$A34,'Check Results'!$F$5:$F$600,"Fail",'Check Results'!$E$5:$E$600,"Blocking"))</f>
        <v/>
      </c>
      <c r="K34" s="22">
        <f>IF($A34="","",IF($G34+$H34=0,0,$G34/($G34+$H34)))</f>
        <v/>
      </c>
      <c r="L34" s="23">
        <f>IF($A34="","",IF($J34&gt;0,"BLOCKED",IF($F34&lt;17,"INCOMPLETE — "&amp;(17-$F34)&amp;" not recorded"&amp;IF($H34&gt;0," · "&amp;$H34&amp;" Advisory failing",""),IF($H34&gt;0,"PASSED WITH FAILURES — see Failure Log","PASS"))))</f>
        <v/>
      </c>
      <c r="M34" s="24" t="n"/>
    </row>
    <row r="35" ht="18" customHeight="1" s="42">
      <c r="A35" s="9" t="n"/>
      <c r="B35" s="10" t="n"/>
      <c r="C35" s="11" t="n"/>
      <c r="D35" s="11" t="n"/>
      <c r="E35" s="11" t="n"/>
      <c r="F35" s="12">
        <f>IF($A35="","",COUNTIFS('Check Results'!$A$5:$A$600,$A35,'Check Results'!$F$5:$F$600,"Pass")+COUNTIFS('Check Results'!$A$5:$A$600,$A35,'Check Results'!$F$5:$F$600,"Fail")+COUNTIFS('Check Results'!$A$5:$A$600,$A35,'Check Results'!$F$5:$F$600,"N/A"))</f>
        <v/>
      </c>
      <c r="G35" s="12">
        <f>IF($A35="","",COUNTIFS('Check Results'!$A$5:$A$600,$A35,'Check Results'!$F$5:$F$600,"Pass"))</f>
        <v/>
      </c>
      <c r="H35" s="12">
        <f>IF($A35="","",COUNTIFS('Check Results'!$A$5:$A$600,$A35,'Check Results'!$F$5:$F$600,"Fail"))</f>
        <v/>
      </c>
      <c r="I35" s="12">
        <f>IF($A35="","",COUNTIFS('Check Results'!$A$5:$A$600,$A35,'Check Results'!$F$5:$F$600,"N/A"))</f>
        <v/>
      </c>
      <c r="J35" s="13">
        <f>IF($A35="","",COUNTIFS('Check Results'!$A$5:$A$600,$A35,'Check Results'!$F$5:$F$600,"Fail",'Check Results'!$E$5:$E$600,"Blocking"))</f>
        <v/>
      </c>
      <c r="K35" s="14">
        <f>IF($A35="","",IF($G35+$H35=0,0,$G35/($G35+$H35)))</f>
        <v/>
      </c>
      <c r="L35" s="15">
        <f>IF($A35="","",IF($J35&gt;0,"BLOCKED",IF($F35&lt;17,"INCOMPLETE — "&amp;(17-$F35)&amp;" not recorded"&amp;IF($H35&gt;0," · "&amp;$H35&amp;" Advisory failing",""),IF($H35&gt;0,"PASSED WITH FAILURES — see Failure Log","PASS"))))</f>
        <v/>
      </c>
      <c r="M35" s="16" t="n"/>
    </row>
    <row r="36" ht="18" customHeight="1" s="42">
      <c r="A36" s="17" t="n"/>
      <c r="B36" s="18" t="n"/>
      <c r="C36" s="19" t="n"/>
      <c r="D36" s="19" t="n"/>
      <c r="E36" s="19" t="n"/>
      <c r="F36" s="20">
        <f>IF($A36="","",COUNTIFS('Check Results'!$A$5:$A$600,$A36,'Check Results'!$F$5:$F$600,"Pass")+COUNTIFS('Check Results'!$A$5:$A$600,$A36,'Check Results'!$F$5:$F$600,"Fail")+COUNTIFS('Check Results'!$A$5:$A$600,$A36,'Check Results'!$F$5:$F$600,"N/A"))</f>
        <v/>
      </c>
      <c r="G36" s="20">
        <f>IF($A36="","",COUNTIFS('Check Results'!$A$5:$A$600,$A36,'Check Results'!$F$5:$F$600,"Pass"))</f>
        <v/>
      </c>
      <c r="H36" s="20">
        <f>IF($A36="","",COUNTIFS('Check Results'!$A$5:$A$600,$A36,'Check Results'!$F$5:$F$600,"Fail"))</f>
        <v/>
      </c>
      <c r="I36" s="20">
        <f>IF($A36="","",COUNTIFS('Check Results'!$A$5:$A$600,$A36,'Check Results'!$F$5:$F$600,"N/A"))</f>
        <v/>
      </c>
      <c r="J36" s="21">
        <f>IF($A36="","",COUNTIFS('Check Results'!$A$5:$A$600,$A36,'Check Results'!$F$5:$F$600,"Fail",'Check Results'!$E$5:$E$600,"Blocking"))</f>
        <v/>
      </c>
      <c r="K36" s="22">
        <f>IF($A36="","",IF($G36+$H36=0,0,$G36/($G36+$H36)))</f>
        <v/>
      </c>
      <c r="L36" s="23">
        <f>IF($A36="","",IF($J36&gt;0,"BLOCKED",IF($F36&lt;17,"INCOMPLETE — "&amp;(17-$F36)&amp;" not recorded"&amp;IF($H36&gt;0," · "&amp;$H36&amp;" Advisory failing",""),IF($H36&gt;0,"PASSED WITH FAILURES — see Failure Log","PASS"))))</f>
        <v/>
      </c>
      <c r="M36" s="24" t="n"/>
    </row>
    <row r="37" ht="18" customHeight="1" s="42">
      <c r="A37" s="9" t="n"/>
      <c r="B37" s="10" t="n"/>
      <c r="C37" s="11" t="n"/>
      <c r="D37" s="11" t="n"/>
      <c r="E37" s="11" t="n"/>
      <c r="F37" s="12">
        <f>IF($A37="","",COUNTIFS('Check Results'!$A$5:$A$600,$A37,'Check Results'!$F$5:$F$600,"Pass")+COUNTIFS('Check Results'!$A$5:$A$600,$A37,'Check Results'!$F$5:$F$600,"Fail")+COUNTIFS('Check Results'!$A$5:$A$600,$A37,'Check Results'!$F$5:$F$600,"N/A"))</f>
        <v/>
      </c>
      <c r="G37" s="12">
        <f>IF($A37="","",COUNTIFS('Check Results'!$A$5:$A$600,$A37,'Check Results'!$F$5:$F$600,"Pass"))</f>
        <v/>
      </c>
      <c r="H37" s="12">
        <f>IF($A37="","",COUNTIFS('Check Results'!$A$5:$A$600,$A37,'Check Results'!$F$5:$F$600,"Fail"))</f>
        <v/>
      </c>
      <c r="I37" s="12">
        <f>IF($A37="","",COUNTIFS('Check Results'!$A$5:$A$600,$A37,'Check Results'!$F$5:$F$600,"N/A"))</f>
        <v/>
      </c>
      <c r="J37" s="13">
        <f>IF($A37="","",COUNTIFS('Check Results'!$A$5:$A$600,$A37,'Check Results'!$F$5:$F$600,"Fail",'Check Results'!$E$5:$E$600,"Blocking"))</f>
        <v/>
      </c>
      <c r="K37" s="14">
        <f>IF($A37="","",IF($G37+$H37=0,0,$G37/($G37+$H37)))</f>
        <v/>
      </c>
      <c r="L37" s="15">
        <f>IF($A37="","",IF($J37&gt;0,"BLOCKED",IF($F37&lt;17,"INCOMPLETE — "&amp;(17-$F37)&amp;" not recorded"&amp;IF($H37&gt;0," · "&amp;$H37&amp;" Advisory failing",""),IF($H37&gt;0,"PASSED WITH FAILURES — see Failure Log","PASS"))))</f>
        <v/>
      </c>
      <c r="M37" s="16" t="n"/>
    </row>
    <row r="38" ht="18" customHeight="1" s="42">
      <c r="A38" s="17" t="n"/>
      <c r="B38" s="18" t="n"/>
      <c r="C38" s="19" t="n"/>
      <c r="D38" s="19" t="n"/>
      <c r="E38" s="19" t="n"/>
      <c r="F38" s="20">
        <f>IF($A38="","",COUNTIFS('Check Results'!$A$5:$A$600,$A38,'Check Results'!$F$5:$F$600,"Pass")+COUNTIFS('Check Results'!$A$5:$A$600,$A38,'Check Results'!$F$5:$F$600,"Fail")+COUNTIFS('Check Results'!$A$5:$A$600,$A38,'Check Results'!$F$5:$F$600,"N/A"))</f>
        <v/>
      </c>
      <c r="G38" s="20">
        <f>IF($A38="","",COUNTIFS('Check Results'!$A$5:$A$600,$A38,'Check Results'!$F$5:$F$600,"Pass"))</f>
        <v/>
      </c>
      <c r="H38" s="20">
        <f>IF($A38="","",COUNTIFS('Check Results'!$A$5:$A$600,$A38,'Check Results'!$F$5:$F$600,"Fail"))</f>
        <v/>
      </c>
      <c r="I38" s="20">
        <f>IF($A38="","",COUNTIFS('Check Results'!$A$5:$A$600,$A38,'Check Results'!$F$5:$F$600,"N/A"))</f>
        <v/>
      </c>
      <c r="J38" s="21">
        <f>IF($A38="","",COUNTIFS('Check Results'!$A$5:$A$600,$A38,'Check Results'!$F$5:$F$600,"Fail",'Check Results'!$E$5:$E$600,"Blocking"))</f>
        <v/>
      </c>
      <c r="K38" s="22">
        <f>IF($A38="","",IF($G38+$H38=0,0,$G38/($G38+$H38)))</f>
        <v/>
      </c>
      <c r="L38" s="23">
        <f>IF($A38="","",IF($J38&gt;0,"BLOCKED",IF($F38&lt;17,"INCOMPLETE — "&amp;(17-$F38)&amp;" not recorded"&amp;IF($H38&gt;0," · "&amp;$H38&amp;" Advisory failing",""),IF($H38&gt;0,"PASSED WITH FAILURES — see Failure Log","PASS"))))</f>
        <v/>
      </c>
      <c r="M38" s="24" t="n"/>
    </row>
    <row r="39" ht="18" customHeight="1" s="42">
      <c r="A39" s="9" t="n"/>
      <c r="B39" s="10" t="n"/>
      <c r="C39" s="11" t="n"/>
      <c r="D39" s="11" t="n"/>
      <c r="E39" s="11" t="n"/>
      <c r="F39" s="12">
        <f>IF($A39="","",COUNTIFS('Check Results'!$A$5:$A$600,$A39,'Check Results'!$F$5:$F$600,"Pass")+COUNTIFS('Check Results'!$A$5:$A$600,$A39,'Check Results'!$F$5:$F$600,"Fail")+COUNTIFS('Check Results'!$A$5:$A$600,$A39,'Check Results'!$F$5:$F$600,"N/A"))</f>
        <v/>
      </c>
      <c r="G39" s="12">
        <f>IF($A39="","",COUNTIFS('Check Results'!$A$5:$A$600,$A39,'Check Results'!$F$5:$F$600,"Pass"))</f>
        <v/>
      </c>
      <c r="H39" s="12">
        <f>IF($A39="","",COUNTIFS('Check Results'!$A$5:$A$600,$A39,'Check Results'!$F$5:$F$600,"Fail"))</f>
        <v/>
      </c>
      <c r="I39" s="12">
        <f>IF($A39="","",COUNTIFS('Check Results'!$A$5:$A$600,$A39,'Check Results'!$F$5:$F$600,"N/A"))</f>
        <v/>
      </c>
      <c r="J39" s="13">
        <f>IF($A39="","",COUNTIFS('Check Results'!$A$5:$A$600,$A39,'Check Results'!$F$5:$F$600,"Fail",'Check Results'!$E$5:$E$600,"Blocking"))</f>
        <v/>
      </c>
      <c r="K39" s="14">
        <f>IF($A39="","",IF($G39+$H39=0,0,$G39/($G39+$H39)))</f>
        <v/>
      </c>
      <c r="L39" s="15">
        <f>IF($A39="","",IF($J39&gt;0,"BLOCKED",IF($F39&lt;17,"INCOMPLETE — "&amp;(17-$F39)&amp;" not recorded"&amp;IF($H39&gt;0," · "&amp;$H39&amp;" Advisory failing",""),IF($H39&gt;0,"PASSED WITH FAILURES — see Failure Log","PASS"))))</f>
        <v/>
      </c>
      <c r="M39" s="16" t="n"/>
    </row>
    <row r="40" ht="18" customHeight="1" s="42">
      <c r="A40" s="17" t="n"/>
      <c r="B40" s="18" t="n"/>
      <c r="C40" s="19" t="n"/>
      <c r="D40" s="19" t="n"/>
      <c r="E40" s="19" t="n"/>
      <c r="F40" s="20">
        <f>IF($A40="","",COUNTIFS('Check Results'!$A$5:$A$600,$A40,'Check Results'!$F$5:$F$600,"Pass")+COUNTIFS('Check Results'!$A$5:$A$600,$A40,'Check Results'!$F$5:$F$600,"Fail")+COUNTIFS('Check Results'!$A$5:$A$600,$A40,'Check Results'!$F$5:$F$600,"N/A"))</f>
        <v/>
      </c>
      <c r="G40" s="20">
        <f>IF($A40="","",COUNTIFS('Check Results'!$A$5:$A$600,$A40,'Check Results'!$F$5:$F$600,"Pass"))</f>
        <v/>
      </c>
      <c r="H40" s="20">
        <f>IF($A40="","",COUNTIFS('Check Results'!$A$5:$A$600,$A40,'Check Results'!$F$5:$F$600,"Fail"))</f>
        <v/>
      </c>
      <c r="I40" s="20">
        <f>IF($A40="","",COUNTIFS('Check Results'!$A$5:$A$600,$A40,'Check Results'!$F$5:$F$600,"N/A"))</f>
        <v/>
      </c>
      <c r="J40" s="21">
        <f>IF($A40="","",COUNTIFS('Check Results'!$A$5:$A$600,$A40,'Check Results'!$F$5:$F$600,"Fail",'Check Results'!$E$5:$E$600,"Blocking"))</f>
        <v/>
      </c>
      <c r="K40" s="22">
        <f>IF($A40="","",IF($G40+$H40=0,0,$G40/($G40+$H40)))</f>
        <v/>
      </c>
      <c r="L40" s="23">
        <f>IF($A40="","",IF($J40&gt;0,"BLOCKED",IF($F40&lt;17,"INCOMPLETE — "&amp;(17-$F40)&amp;" not recorded"&amp;IF($H40&gt;0," · "&amp;$H40&amp;" Advisory failing",""),IF($H40&gt;0,"PASSED WITH FAILURES — see Failure Log","PASS"))))</f>
        <v/>
      </c>
      <c r="M40" s="24" t="n"/>
    </row>
    <row r="41" ht="18" customHeight="1" s="42">
      <c r="A41" s="9" t="n"/>
      <c r="B41" s="10" t="n"/>
      <c r="C41" s="11" t="n"/>
      <c r="D41" s="11" t="n"/>
      <c r="E41" s="11" t="n"/>
      <c r="F41" s="12">
        <f>IF($A41="","",COUNTIFS('Check Results'!$A$5:$A$600,$A41,'Check Results'!$F$5:$F$600,"Pass")+COUNTIFS('Check Results'!$A$5:$A$600,$A41,'Check Results'!$F$5:$F$600,"Fail")+COUNTIFS('Check Results'!$A$5:$A$600,$A41,'Check Results'!$F$5:$F$600,"N/A"))</f>
        <v/>
      </c>
      <c r="G41" s="12">
        <f>IF($A41="","",COUNTIFS('Check Results'!$A$5:$A$600,$A41,'Check Results'!$F$5:$F$600,"Pass"))</f>
        <v/>
      </c>
      <c r="H41" s="12">
        <f>IF($A41="","",COUNTIFS('Check Results'!$A$5:$A$600,$A41,'Check Results'!$F$5:$F$600,"Fail"))</f>
        <v/>
      </c>
      <c r="I41" s="12">
        <f>IF($A41="","",COUNTIFS('Check Results'!$A$5:$A$600,$A41,'Check Results'!$F$5:$F$600,"N/A"))</f>
        <v/>
      </c>
      <c r="J41" s="13">
        <f>IF($A41="","",COUNTIFS('Check Results'!$A$5:$A$600,$A41,'Check Results'!$F$5:$F$600,"Fail",'Check Results'!$E$5:$E$600,"Blocking"))</f>
        <v/>
      </c>
      <c r="K41" s="14">
        <f>IF($A41="","",IF($G41+$H41=0,0,$G41/($G41+$H41)))</f>
        <v/>
      </c>
      <c r="L41" s="15">
        <f>IF($A41="","",IF($J41&gt;0,"BLOCKED",IF($F41&lt;17,"INCOMPLETE — "&amp;(17-$F41)&amp;" not recorded"&amp;IF($H41&gt;0," · "&amp;$H41&amp;" Advisory failing",""),IF($H41&gt;0,"PASSED WITH FAILURES — see Failure Log","PASS"))))</f>
        <v/>
      </c>
      <c r="M41" s="16" t="n"/>
    </row>
    <row r="42" ht="18" customHeight="1" s="42">
      <c r="A42" s="17" t="n"/>
      <c r="B42" s="18" t="n"/>
      <c r="C42" s="19" t="n"/>
      <c r="D42" s="19" t="n"/>
      <c r="E42" s="19" t="n"/>
      <c r="F42" s="20">
        <f>IF($A42="","",COUNTIFS('Check Results'!$A$5:$A$600,$A42,'Check Results'!$F$5:$F$600,"Pass")+COUNTIFS('Check Results'!$A$5:$A$600,$A42,'Check Results'!$F$5:$F$600,"Fail")+COUNTIFS('Check Results'!$A$5:$A$600,$A42,'Check Results'!$F$5:$F$600,"N/A"))</f>
        <v/>
      </c>
      <c r="G42" s="20">
        <f>IF($A42="","",COUNTIFS('Check Results'!$A$5:$A$600,$A42,'Check Results'!$F$5:$F$600,"Pass"))</f>
        <v/>
      </c>
      <c r="H42" s="20">
        <f>IF($A42="","",COUNTIFS('Check Results'!$A$5:$A$600,$A42,'Check Results'!$F$5:$F$600,"Fail"))</f>
        <v/>
      </c>
      <c r="I42" s="20">
        <f>IF($A42="","",COUNTIFS('Check Results'!$A$5:$A$600,$A42,'Check Results'!$F$5:$F$600,"N/A"))</f>
        <v/>
      </c>
      <c r="J42" s="21">
        <f>IF($A42="","",COUNTIFS('Check Results'!$A$5:$A$600,$A42,'Check Results'!$F$5:$F$600,"Fail",'Check Results'!$E$5:$E$600,"Blocking"))</f>
        <v/>
      </c>
      <c r="K42" s="22">
        <f>IF($A42="","",IF($G42+$H42=0,0,$G42/($G42+$H42)))</f>
        <v/>
      </c>
      <c r="L42" s="23">
        <f>IF($A42="","",IF($J42&gt;0,"BLOCKED",IF($F42&lt;17,"INCOMPLETE — "&amp;(17-$F42)&amp;" not recorded"&amp;IF($H42&gt;0," · "&amp;$H42&amp;" Advisory failing",""),IF($H42&gt;0,"PASSED WITH FAILURES — see Failure Log","PASS"))))</f>
        <v/>
      </c>
      <c r="M42" s="24" t="n"/>
    </row>
    <row r="43" ht="18" customHeight="1" s="42">
      <c r="A43" s="9" t="n"/>
      <c r="B43" s="10" t="n"/>
      <c r="C43" s="11" t="n"/>
      <c r="D43" s="11" t="n"/>
      <c r="E43" s="11" t="n"/>
      <c r="F43" s="12">
        <f>IF($A43="","",COUNTIFS('Check Results'!$A$5:$A$600,$A43,'Check Results'!$F$5:$F$600,"Pass")+COUNTIFS('Check Results'!$A$5:$A$600,$A43,'Check Results'!$F$5:$F$600,"Fail")+COUNTIFS('Check Results'!$A$5:$A$600,$A43,'Check Results'!$F$5:$F$600,"N/A"))</f>
        <v/>
      </c>
      <c r="G43" s="12">
        <f>IF($A43="","",COUNTIFS('Check Results'!$A$5:$A$600,$A43,'Check Results'!$F$5:$F$600,"Pass"))</f>
        <v/>
      </c>
      <c r="H43" s="12">
        <f>IF($A43="","",COUNTIFS('Check Results'!$A$5:$A$600,$A43,'Check Results'!$F$5:$F$600,"Fail"))</f>
        <v/>
      </c>
      <c r="I43" s="12">
        <f>IF($A43="","",COUNTIFS('Check Results'!$A$5:$A$600,$A43,'Check Results'!$F$5:$F$600,"N/A"))</f>
        <v/>
      </c>
      <c r="J43" s="13">
        <f>IF($A43="","",COUNTIFS('Check Results'!$A$5:$A$600,$A43,'Check Results'!$F$5:$F$600,"Fail",'Check Results'!$E$5:$E$600,"Blocking"))</f>
        <v/>
      </c>
      <c r="K43" s="14">
        <f>IF($A43="","",IF($G43+$H43=0,0,$G43/($G43+$H43)))</f>
        <v/>
      </c>
      <c r="L43" s="15">
        <f>IF($A43="","",IF($J43&gt;0,"BLOCKED",IF($F43&lt;17,"INCOMPLETE — "&amp;(17-$F43)&amp;" not recorded"&amp;IF($H43&gt;0," · "&amp;$H43&amp;" Advisory failing",""),IF($H43&gt;0,"PASSED WITH FAILURES — see Failure Log","PASS"))))</f>
        <v/>
      </c>
      <c r="M43" s="16" t="n"/>
    </row>
    <row r="44" ht="18" customHeight="1" s="42">
      <c r="A44" s="17" t="n"/>
      <c r="B44" s="18" t="n"/>
      <c r="C44" s="19" t="n"/>
      <c r="D44" s="19" t="n"/>
      <c r="E44" s="19" t="n"/>
      <c r="F44" s="20">
        <f>IF($A44="","",COUNTIFS('Check Results'!$A$5:$A$600,$A44,'Check Results'!$F$5:$F$600,"Pass")+COUNTIFS('Check Results'!$A$5:$A$600,$A44,'Check Results'!$F$5:$F$600,"Fail")+COUNTIFS('Check Results'!$A$5:$A$600,$A44,'Check Results'!$F$5:$F$600,"N/A"))</f>
        <v/>
      </c>
      <c r="G44" s="20">
        <f>IF($A44="","",COUNTIFS('Check Results'!$A$5:$A$600,$A44,'Check Results'!$F$5:$F$600,"Pass"))</f>
        <v/>
      </c>
      <c r="H44" s="20">
        <f>IF($A44="","",COUNTIFS('Check Results'!$A$5:$A$600,$A44,'Check Results'!$F$5:$F$600,"Fail"))</f>
        <v/>
      </c>
      <c r="I44" s="20">
        <f>IF($A44="","",COUNTIFS('Check Results'!$A$5:$A$600,$A44,'Check Results'!$F$5:$F$600,"N/A"))</f>
        <v/>
      </c>
      <c r="J44" s="21">
        <f>IF($A44="","",COUNTIFS('Check Results'!$A$5:$A$600,$A44,'Check Results'!$F$5:$F$600,"Fail",'Check Results'!$E$5:$E$600,"Blocking"))</f>
        <v/>
      </c>
      <c r="K44" s="22">
        <f>IF($A44="","",IF($G44+$H44=0,0,$G44/($G44+$H44)))</f>
        <v/>
      </c>
      <c r="L44" s="23">
        <f>IF($A44="","",IF($J44&gt;0,"BLOCKED",IF($F44&lt;17,"INCOMPLETE — "&amp;(17-$F44)&amp;" not recorded"&amp;IF($H44&gt;0," · "&amp;$H44&amp;" Advisory failing",""),IF($H44&gt;0,"PASSED WITH FAILURES — see Failure Log","PASS"))))</f>
        <v/>
      </c>
      <c r="M44" s="24" t="n"/>
    </row>
    <row r="45" ht="18" customHeight="1" s="42">
      <c r="A45" s="9" t="n"/>
      <c r="B45" s="10" t="n"/>
      <c r="C45" s="11" t="n"/>
      <c r="D45" s="11" t="n"/>
      <c r="E45" s="11" t="n"/>
      <c r="F45" s="12">
        <f>IF($A45="","",COUNTIFS('Check Results'!$A$5:$A$600,$A45,'Check Results'!$F$5:$F$600,"Pass")+COUNTIFS('Check Results'!$A$5:$A$600,$A45,'Check Results'!$F$5:$F$600,"Fail")+COUNTIFS('Check Results'!$A$5:$A$600,$A45,'Check Results'!$F$5:$F$600,"N/A"))</f>
        <v/>
      </c>
      <c r="G45" s="12">
        <f>IF($A45="","",COUNTIFS('Check Results'!$A$5:$A$600,$A45,'Check Results'!$F$5:$F$600,"Pass"))</f>
        <v/>
      </c>
      <c r="H45" s="12">
        <f>IF($A45="","",COUNTIFS('Check Results'!$A$5:$A$600,$A45,'Check Results'!$F$5:$F$600,"Fail"))</f>
        <v/>
      </c>
      <c r="I45" s="12">
        <f>IF($A45="","",COUNTIFS('Check Results'!$A$5:$A$600,$A45,'Check Results'!$F$5:$F$600,"N/A"))</f>
        <v/>
      </c>
      <c r="J45" s="13">
        <f>IF($A45="","",COUNTIFS('Check Results'!$A$5:$A$600,$A45,'Check Results'!$F$5:$F$600,"Fail",'Check Results'!$E$5:$E$600,"Blocking"))</f>
        <v/>
      </c>
      <c r="K45" s="14">
        <f>IF($A45="","",IF($G45+$H45=0,0,$G45/($G45+$H45)))</f>
        <v/>
      </c>
      <c r="L45" s="15">
        <f>IF($A45="","",IF($J45&gt;0,"BLOCKED",IF($F45&lt;17,"INCOMPLETE — "&amp;(17-$F45)&amp;" not recorded"&amp;IF($H45&gt;0," · "&amp;$H45&amp;" Advisory failing",""),IF($H45&gt;0,"PASSED WITH FAILURES — see Failure Log","PASS"))))</f>
        <v/>
      </c>
      <c r="M45" s="16" t="n"/>
    </row>
    <row r="46" ht="18" customHeight="1" s="42">
      <c r="A46" s="17" t="n"/>
      <c r="B46" s="18" t="n"/>
      <c r="C46" s="19" t="n"/>
      <c r="D46" s="19" t="n"/>
      <c r="E46" s="19" t="n"/>
      <c r="F46" s="20">
        <f>IF($A46="","",COUNTIFS('Check Results'!$A$5:$A$600,$A46,'Check Results'!$F$5:$F$600,"Pass")+COUNTIFS('Check Results'!$A$5:$A$600,$A46,'Check Results'!$F$5:$F$600,"Fail")+COUNTIFS('Check Results'!$A$5:$A$600,$A46,'Check Results'!$F$5:$F$600,"N/A"))</f>
        <v/>
      </c>
      <c r="G46" s="20">
        <f>IF($A46="","",COUNTIFS('Check Results'!$A$5:$A$600,$A46,'Check Results'!$F$5:$F$600,"Pass"))</f>
        <v/>
      </c>
      <c r="H46" s="20">
        <f>IF($A46="","",COUNTIFS('Check Results'!$A$5:$A$600,$A46,'Check Results'!$F$5:$F$600,"Fail"))</f>
        <v/>
      </c>
      <c r="I46" s="20">
        <f>IF($A46="","",COUNTIFS('Check Results'!$A$5:$A$600,$A46,'Check Results'!$F$5:$F$600,"N/A"))</f>
        <v/>
      </c>
      <c r="J46" s="21">
        <f>IF($A46="","",COUNTIFS('Check Results'!$A$5:$A$600,$A46,'Check Results'!$F$5:$F$600,"Fail",'Check Results'!$E$5:$E$600,"Blocking"))</f>
        <v/>
      </c>
      <c r="K46" s="22">
        <f>IF($A46="","",IF($G46+$H46=0,0,$G46/($G46+$H46)))</f>
        <v/>
      </c>
      <c r="L46" s="23">
        <f>IF($A46="","",IF($J46&gt;0,"BLOCKED",IF($F46&lt;17,"INCOMPLETE — "&amp;(17-$F46)&amp;" not recorded"&amp;IF($H46&gt;0," · "&amp;$H46&amp;" Advisory failing",""),IF($H46&gt;0,"PASSED WITH FAILURES — see Failure Log","PASS"))))</f>
        <v/>
      </c>
      <c r="M46" s="24" t="n"/>
    </row>
    <row r="47" ht="18" customHeight="1" s="42">
      <c r="A47" s="9" t="n"/>
      <c r="B47" s="10" t="n"/>
      <c r="C47" s="11" t="n"/>
      <c r="D47" s="11" t="n"/>
      <c r="E47" s="11" t="n"/>
      <c r="F47" s="12">
        <f>IF($A47="","",COUNTIFS('Check Results'!$A$5:$A$600,$A47,'Check Results'!$F$5:$F$600,"Pass")+COUNTIFS('Check Results'!$A$5:$A$600,$A47,'Check Results'!$F$5:$F$600,"Fail")+COUNTIFS('Check Results'!$A$5:$A$600,$A47,'Check Results'!$F$5:$F$600,"N/A"))</f>
        <v/>
      </c>
      <c r="G47" s="12">
        <f>IF($A47="","",COUNTIFS('Check Results'!$A$5:$A$600,$A47,'Check Results'!$F$5:$F$600,"Pass"))</f>
        <v/>
      </c>
      <c r="H47" s="12">
        <f>IF($A47="","",COUNTIFS('Check Results'!$A$5:$A$600,$A47,'Check Results'!$F$5:$F$600,"Fail"))</f>
        <v/>
      </c>
      <c r="I47" s="12">
        <f>IF($A47="","",COUNTIFS('Check Results'!$A$5:$A$600,$A47,'Check Results'!$F$5:$F$600,"N/A"))</f>
        <v/>
      </c>
      <c r="J47" s="13">
        <f>IF($A47="","",COUNTIFS('Check Results'!$A$5:$A$600,$A47,'Check Results'!$F$5:$F$600,"Fail",'Check Results'!$E$5:$E$600,"Blocking"))</f>
        <v/>
      </c>
      <c r="K47" s="14">
        <f>IF($A47="","",IF($G47+$H47=0,0,$G47/($G47+$H47)))</f>
        <v/>
      </c>
      <c r="L47" s="15">
        <f>IF($A47="","",IF($J47&gt;0,"BLOCKED",IF($F47&lt;17,"INCOMPLETE — "&amp;(17-$F47)&amp;" not recorded"&amp;IF($H47&gt;0," · "&amp;$H47&amp;" Advisory failing",""),IF($H47&gt;0,"PASSED WITH FAILURES — see Failure Log","PASS"))))</f>
        <v/>
      </c>
      <c r="M47" s="16" t="n"/>
    </row>
    <row r="48" ht="18" customHeight="1" s="42">
      <c r="A48" s="17" t="n"/>
      <c r="B48" s="18" t="n"/>
      <c r="C48" s="19" t="n"/>
      <c r="D48" s="19" t="n"/>
      <c r="E48" s="19" t="n"/>
      <c r="F48" s="20">
        <f>IF($A48="","",COUNTIFS('Check Results'!$A$5:$A$600,$A48,'Check Results'!$F$5:$F$600,"Pass")+COUNTIFS('Check Results'!$A$5:$A$600,$A48,'Check Results'!$F$5:$F$600,"Fail")+COUNTIFS('Check Results'!$A$5:$A$600,$A48,'Check Results'!$F$5:$F$600,"N/A"))</f>
        <v/>
      </c>
      <c r="G48" s="20">
        <f>IF($A48="","",COUNTIFS('Check Results'!$A$5:$A$600,$A48,'Check Results'!$F$5:$F$600,"Pass"))</f>
        <v/>
      </c>
      <c r="H48" s="20">
        <f>IF($A48="","",COUNTIFS('Check Results'!$A$5:$A$600,$A48,'Check Results'!$F$5:$F$600,"Fail"))</f>
        <v/>
      </c>
      <c r="I48" s="20">
        <f>IF($A48="","",COUNTIFS('Check Results'!$A$5:$A$600,$A48,'Check Results'!$F$5:$F$600,"N/A"))</f>
        <v/>
      </c>
      <c r="J48" s="21">
        <f>IF($A48="","",COUNTIFS('Check Results'!$A$5:$A$600,$A48,'Check Results'!$F$5:$F$600,"Fail",'Check Results'!$E$5:$E$600,"Blocking"))</f>
        <v/>
      </c>
      <c r="K48" s="22">
        <f>IF($A48="","",IF($G48+$H48=0,0,$G48/($G48+$H48)))</f>
        <v/>
      </c>
      <c r="L48" s="23">
        <f>IF($A48="","",IF($J48&gt;0,"BLOCKED",IF($F48&lt;17,"INCOMPLETE — "&amp;(17-$F48)&amp;" not recorded"&amp;IF($H48&gt;0," · "&amp;$H48&amp;" Advisory failing",""),IF($H48&gt;0,"PASSED WITH FAILURES — see Failure Log","PASS"))))</f>
        <v/>
      </c>
      <c r="M48" s="24" t="n"/>
    </row>
    <row r="49" ht="18" customHeight="1" s="42">
      <c r="A49" s="9" t="n"/>
      <c r="B49" s="10" t="n"/>
      <c r="C49" s="11" t="n"/>
      <c r="D49" s="11" t="n"/>
      <c r="E49" s="11" t="n"/>
      <c r="F49" s="12">
        <f>IF($A49="","",COUNTIFS('Check Results'!$A$5:$A$600,$A49,'Check Results'!$F$5:$F$600,"Pass")+COUNTIFS('Check Results'!$A$5:$A$600,$A49,'Check Results'!$F$5:$F$600,"Fail")+COUNTIFS('Check Results'!$A$5:$A$600,$A49,'Check Results'!$F$5:$F$600,"N/A"))</f>
        <v/>
      </c>
      <c r="G49" s="12">
        <f>IF($A49="","",COUNTIFS('Check Results'!$A$5:$A$600,$A49,'Check Results'!$F$5:$F$600,"Pass"))</f>
        <v/>
      </c>
      <c r="H49" s="12">
        <f>IF($A49="","",COUNTIFS('Check Results'!$A$5:$A$600,$A49,'Check Results'!$F$5:$F$600,"Fail"))</f>
        <v/>
      </c>
      <c r="I49" s="12">
        <f>IF($A49="","",COUNTIFS('Check Results'!$A$5:$A$600,$A49,'Check Results'!$F$5:$F$600,"N/A"))</f>
        <v/>
      </c>
      <c r="J49" s="13">
        <f>IF($A49="","",COUNTIFS('Check Results'!$A$5:$A$600,$A49,'Check Results'!$F$5:$F$600,"Fail",'Check Results'!$E$5:$E$600,"Blocking"))</f>
        <v/>
      </c>
      <c r="K49" s="14">
        <f>IF($A49="","",IF($G49+$H49=0,0,$G49/($G49+$H49)))</f>
        <v/>
      </c>
      <c r="L49" s="15">
        <f>IF($A49="","",IF($J49&gt;0,"BLOCKED",IF($F49&lt;17,"INCOMPLETE — "&amp;(17-$F49)&amp;" not recorded"&amp;IF($H49&gt;0," · "&amp;$H49&amp;" Advisory failing",""),IF($H49&gt;0,"PASSED WITH FAILURES — see Failure Log","PASS"))))</f>
        <v/>
      </c>
      <c r="M49" s="16" t="n"/>
    </row>
    <row r="50" ht="18" customHeight="1" s="42">
      <c r="A50" s="17" t="n"/>
      <c r="B50" s="18" t="n"/>
      <c r="C50" s="19" t="n"/>
      <c r="D50" s="19" t="n"/>
      <c r="E50" s="19" t="n"/>
      <c r="F50" s="20">
        <f>IF($A50="","",COUNTIFS('Check Results'!$A$5:$A$600,$A50,'Check Results'!$F$5:$F$600,"Pass")+COUNTIFS('Check Results'!$A$5:$A$600,$A50,'Check Results'!$F$5:$F$600,"Fail")+COUNTIFS('Check Results'!$A$5:$A$600,$A50,'Check Results'!$F$5:$F$600,"N/A"))</f>
        <v/>
      </c>
      <c r="G50" s="20">
        <f>IF($A50="","",COUNTIFS('Check Results'!$A$5:$A$600,$A50,'Check Results'!$F$5:$F$600,"Pass"))</f>
        <v/>
      </c>
      <c r="H50" s="20">
        <f>IF($A50="","",COUNTIFS('Check Results'!$A$5:$A$600,$A50,'Check Results'!$F$5:$F$600,"Fail"))</f>
        <v/>
      </c>
      <c r="I50" s="20">
        <f>IF($A50="","",COUNTIFS('Check Results'!$A$5:$A$600,$A50,'Check Results'!$F$5:$F$600,"N/A"))</f>
        <v/>
      </c>
      <c r="J50" s="21">
        <f>IF($A50="","",COUNTIFS('Check Results'!$A$5:$A$600,$A50,'Check Results'!$F$5:$F$600,"Fail",'Check Results'!$E$5:$E$600,"Blocking"))</f>
        <v/>
      </c>
      <c r="K50" s="22">
        <f>IF($A50="","",IF($G50+$H50=0,0,$G50/($G50+$H50)))</f>
        <v/>
      </c>
      <c r="L50" s="23">
        <f>IF($A50="","",IF($J50&gt;0,"BLOCKED",IF($F50&lt;17,"INCOMPLETE — "&amp;(17-$F50)&amp;" not recorded"&amp;IF($H50&gt;0," · "&amp;$H50&amp;" Advisory failing",""),IF($H50&gt;0,"PASSED WITH FAILURES — see Failure Log","PASS"))))</f>
        <v/>
      </c>
      <c r="M50" s="24" t="n"/>
    </row>
    <row r="51" ht="18" customHeight="1" s="42">
      <c r="A51" s="9" t="n"/>
      <c r="B51" s="10" t="n"/>
      <c r="C51" s="11" t="n"/>
      <c r="D51" s="11" t="n"/>
      <c r="E51" s="11" t="n"/>
      <c r="F51" s="12">
        <f>IF($A51="","",COUNTIFS('Check Results'!$A$5:$A$600,$A51,'Check Results'!$F$5:$F$600,"Pass")+COUNTIFS('Check Results'!$A$5:$A$600,$A51,'Check Results'!$F$5:$F$600,"Fail")+COUNTIFS('Check Results'!$A$5:$A$600,$A51,'Check Results'!$F$5:$F$600,"N/A"))</f>
        <v/>
      </c>
      <c r="G51" s="12">
        <f>IF($A51="","",COUNTIFS('Check Results'!$A$5:$A$600,$A51,'Check Results'!$F$5:$F$600,"Pass"))</f>
        <v/>
      </c>
      <c r="H51" s="12">
        <f>IF($A51="","",COUNTIFS('Check Results'!$A$5:$A$600,$A51,'Check Results'!$F$5:$F$600,"Fail"))</f>
        <v/>
      </c>
      <c r="I51" s="12">
        <f>IF($A51="","",COUNTIFS('Check Results'!$A$5:$A$600,$A51,'Check Results'!$F$5:$F$600,"N/A"))</f>
        <v/>
      </c>
      <c r="J51" s="13">
        <f>IF($A51="","",COUNTIFS('Check Results'!$A$5:$A$600,$A51,'Check Results'!$F$5:$F$600,"Fail",'Check Results'!$E$5:$E$600,"Blocking"))</f>
        <v/>
      </c>
      <c r="K51" s="14">
        <f>IF($A51="","",IF($G51+$H51=0,0,$G51/($G51+$H51)))</f>
        <v/>
      </c>
      <c r="L51" s="15">
        <f>IF($A51="","",IF($J51&gt;0,"BLOCKED",IF($F51&lt;17,"INCOMPLETE — "&amp;(17-$F51)&amp;" not recorded"&amp;IF($H51&gt;0," · "&amp;$H51&amp;" Advisory failing",""),IF($H51&gt;0,"PASSED WITH FAILURES — see Failure Log","PASS"))))</f>
        <v/>
      </c>
      <c r="M51" s="16" t="n"/>
    </row>
    <row r="52" ht="18" customHeight="1" s="42">
      <c r="A52" s="17" t="n"/>
      <c r="B52" s="18" t="n"/>
      <c r="C52" s="19" t="n"/>
      <c r="D52" s="19" t="n"/>
      <c r="E52" s="19" t="n"/>
      <c r="F52" s="20">
        <f>IF($A52="","",COUNTIFS('Check Results'!$A$5:$A$600,$A52,'Check Results'!$F$5:$F$600,"Pass")+COUNTIFS('Check Results'!$A$5:$A$600,$A52,'Check Results'!$F$5:$F$600,"Fail")+COUNTIFS('Check Results'!$A$5:$A$600,$A52,'Check Results'!$F$5:$F$600,"N/A"))</f>
        <v/>
      </c>
      <c r="G52" s="20">
        <f>IF($A52="","",COUNTIFS('Check Results'!$A$5:$A$600,$A52,'Check Results'!$F$5:$F$600,"Pass"))</f>
        <v/>
      </c>
      <c r="H52" s="20">
        <f>IF($A52="","",COUNTIFS('Check Results'!$A$5:$A$600,$A52,'Check Results'!$F$5:$F$600,"Fail"))</f>
        <v/>
      </c>
      <c r="I52" s="20">
        <f>IF($A52="","",COUNTIFS('Check Results'!$A$5:$A$600,$A52,'Check Results'!$F$5:$F$600,"N/A"))</f>
        <v/>
      </c>
      <c r="J52" s="21">
        <f>IF($A52="","",COUNTIFS('Check Results'!$A$5:$A$600,$A52,'Check Results'!$F$5:$F$600,"Fail",'Check Results'!$E$5:$E$600,"Blocking"))</f>
        <v/>
      </c>
      <c r="K52" s="22">
        <f>IF($A52="","",IF($G52+$H52=0,0,$G52/($G52+$H52)))</f>
        <v/>
      </c>
      <c r="L52" s="23">
        <f>IF($A52="","",IF($J52&gt;0,"BLOCKED",IF($F52&lt;17,"INCOMPLETE — "&amp;(17-$F52)&amp;" not recorded"&amp;IF($H52&gt;0," · "&amp;$H52&amp;" Advisory failing",""),IF($H52&gt;0,"PASSED WITH FAILURES — see Failure Log","PASS"))))</f>
        <v/>
      </c>
      <c r="M52" s="24" t="n"/>
    </row>
    <row r="53" ht="18" customHeight="1" s="42">
      <c r="A53" s="9" t="n"/>
      <c r="B53" s="10" t="n"/>
      <c r="C53" s="11" t="n"/>
      <c r="D53" s="11" t="n"/>
      <c r="E53" s="11" t="n"/>
      <c r="F53" s="12">
        <f>IF($A53="","",COUNTIFS('Check Results'!$A$5:$A$600,$A53,'Check Results'!$F$5:$F$600,"Pass")+COUNTIFS('Check Results'!$A$5:$A$600,$A53,'Check Results'!$F$5:$F$600,"Fail")+COUNTIFS('Check Results'!$A$5:$A$600,$A53,'Check Results'!$F$5:$F$600,"N/A"))</f>
        <v/>
      </c>
      <c r="G53" s="12">
        <f>IF($A53="","",COUNTIFS('Check Results'!$A$5:$A$600,$A53,'Check Results'!$F$5:$F$600,"Pass"))</f>
        <v/>
      </c>
      <c r="H53" s="12">
        <f>IF($A53="","",COUNTIFS('Check Results'!$A$5:$A$600,$A53,'Check Results'!$F$5:$F$600,"Fail"))</f>
        <v/>
      </c>
      <c r="I53" s="12">
        <f>IF($A53="","",COUNTIFS('Check Results'!$A$5:$A$600,$A53,'Check Results'!$F$5:$F$600,"N/A"))</f>
        <v/>
      </c>
      <c r="J53" s="13">
        <f>IF($A53="","",COUNTIFS('Check Results'!$A$5:$A$600,$A53,'Check Results'!$F$5:$F$600,"Fail",'Check Results'!$E$5:$E$600,"Blocking"))</f>
        <v/>
      </c>
      <c r="K53" s="14">
        <f>IF($A53="","",IF($G53+$H53=0,0,$G53/($G53+$H53)))</f>
        <v/>
      </c>
      <c r="L53" s="15">
        <f>IF($A53="","",IF($J53&gt;0,"BLOCKED",IF($F53&lt;17,"INCOMPLETE — "&amp;(17-$F53)&amp;" not recorded"&amp;IF($H53&gt;0," · "&amp;$H53&amp;" Advisory failing",""),IF($H53&gt;0,"PASSED WITH FAILURES — see Failure Log","PASS"))))</f>
        <v/>
      </c>
      <c r="M53" s="16" t="n"/>
    </row>
    <row r="54" ht="18" customHeight="1" s="42">
      <c r="A54" s="17" t="n"/>
      <c r="B54" s="18" t="n"/>
      <c r="C54" s="19" t="n"/>
      <c r="D54" s="19" t="n"/>
      <c r="E54" s="19" t="n"/>
      <c r="F54" s="20">
        <f>IF($A54="","",COUNTIFS('Check Results'!$A$5:$A$600,$A54,'Check Results'!$F$5:$F$600,"Pass")+COUNTIFS('Check Results'!$A$5:$A$600,$A54,'Check Results'!$F$5:$F$600,"Fail")+COUNTIFS('Check Results'!$A$5:$A$600,$A54,'Check Results'!$F$5:$F$600,"N/A"))</f>
        <v/>
      </c>
      <c r="G54" s="20">
        <f>IF($A54="","",COUNTIFS('Check Results'!$A$5:$A$600,$A54,'Check Results'!$F$5:$F$600,"Pass"))</f>
        <v/>
      </c>
      <c r="H54" s="20">
        <f>IF($A54="","",COUNTIFS('Check Results'!$A$5:$A$600,$A54,'Check Results'!$F$5:$F$600,"Fail"))</f>
        <v/>
      </c>
      <c r="I54" s="20">
        <f>IF($A54="","",COUNTIFS('Check Results'!$A$5:$A$600,$A54,'Check Results'!$F$5:$F$600,"N/A"))</f>
        <v/>
      </c>
      <c r="J54" s="21">
        <f>IF($A54="","",COUNTIFS('Check Results'!$A$5:$A$600,$A54,'Check Results'!$F$5:$F$600,"Fail",'Check Results'!$E$5:$E$600,"Blocking"))</f>
        <v/>
      </c>
      <c r="K54" s="22">
        <f>IF($A54="","",IF($G54+$H54=0,0,$G54/($G54+$H54)))</f>
        <v/>
      </c>
      <c r="L54" s="23">
        <f>IF($A54="","",IF($J54&gt;0,"BLOCKED",IF($F54&lt;17,"INCOMPLETE — "&amp;(17-$F54)&amp;" not recorded"&amp;IF($H54&gt;0," · "&amp;$H54&amp;" Advisory failing",""),IF($H54&gt;0,"PASSED WITH FAILURES — see Failure Log","PASS"))))</f>
        <v/>
      </c>
      <c r="M54" s="24" t="n"/>
    </row>
    <row r="55" ht="18" customHeight="1" s="42">
      <c r="A55" s="9" t="n"/>
      <c r="B55" s="10" t="n"/>
      <c r="C55" s="11" t="n"/>
      <c r="D55" s="11" t="n"/>
      <c r="E55" s="11" t="n"/>
      <c r="F55" s="12">
        <f>IF($A55="","",COUNTIFS('Check Results'!$A$5:$A$600,$A55,'Check Results'!$F$5:$F$600,"Pass")+COUNTIFS('Check Results'!$A$5:$A$600,$A55,'Check Results'!$F$5:$F$600,"Fail")+COUNTIFS('Check Results'!$A$5:$A$600,$A55,'Check Results'!$F$5:$F$600,"N/A"))</f>
        <v/>
      </c>
      <c r="G55" s="12">
        <f>IF($A55="","",COUNTIFS('Check Results'!$A$5:$A$600,$A55,'Check Results'!$F$5:$F$600,"Pass"))</f>
        <v/>
      </c>
      <c r="H55" s="12">
        <f>IF($A55="","",COUNTIFS('Check Results'!$A$5:$A$600,$A55,'Check Results'!$F$5:$F$600,"Fail"))</f>
        <v/>
      </c>
      <c r="I55" s="12">
        <f>IF($A55="","",COUNTIFS('Check Results'!$A$5:$A$600,$A55,'Check Results'!$F$5:$F$600,"N/A"))</f>
        <v/>
      </c>
      <c r="J55" s="13">
        <f>IF($A55="","",COUNTIFS('Check Results'!$A$5:$A$600,$A55,'Check Results'!$F$5:$F$600,"Fail",'Check Results'!$E$5:$E$600,"Blocking"))</f>
        <v/>
      </c>
      <c r="K55" s="14">
        <f>IF($A55="","",IF($G55+$H55=0,0,$G55/($G55+$H55)))</f>
        <v/>
      </c>
      <c r="L55" s="15">
        <f>IF($A55="","",IF($J55&gt;0,"BLOCKED",IF($F55&lt;17,"INCOMPLETE — "&amp;(17-$F55)&amp;" not recorded"&amp;IF($H55&gt;0," · "&amp;$H55&amp;" Advisory failing",""),IF($H55&gt;0,"PASSED WITH FAILURES — see Failure Log","PASS"))))</f>
        <v/>
      </c>
      <c r="M55" s="16" t="n"/>
    </row>
    <row r="56" ht="18" customHeight="1" s="42">
      <c r="A56" s="17" t="n"/>
      <c r="B56" s="18" t="n"/>
      <c r="C56" s="19" t="n"/>
      <c r="D56" s="19" t="n"/>
      <c r="E56" s="19" t="n"/>
      <c r="F56" s="20">
        <f>IF($A56="","",COUNTIFS('Check Results'!$A$5:$A$600,$A56,'Check Results'!$F$5:$F$600,"Pass")+COUNTIFS('Check Results'!$A$5:$A$600,$A56,'Check Results'!$F$5:$F$600,"Fail")+COUNTIFS('Check Results'!$A$5:$A$600,$A56,'Check Results'!$F$5:$F$600,"N/A"))</f>
        <v/>
      </c>
      <c r="G56" s="20">
        <f>IF($A56="","",COUNTIFS('Check Results'!$A$5:$A$600,$A56,'Check Results'!$F$5:$F$600,"Pass"))</f>
        <v/>
      </c>
      <c r="H56" s="20">
        <f>IF($A56="","",COUNTIFS('Check Results'!$A$5:$A$600,$A56,'Check Results'!$F$5:$F$600,"Fail"))</f>
        <v/>
      </c>
      <c r="I56" s="20">
        <f>IF($A56="","",COUNTIFS('Check Results'!$A$5:$A$600,$A56,'Check Results'!$F$5:$F$600,"N/A"))</f>
        <v/>
      </c>
      <c r="J56" s="21">
        <f>IF($A56="","",COUNTIFS('Check Results'!$A$5:$A$600,$A56,'Check Results'!$F$5:$F$600,"Fail",'Check Results'!$E$5:$E$600,"Blocking"))</f>
        <v/>
      </c>
      <c r="K56" s="22">
        <f>IF($A56="","",IF($G56+$H56=0,0,$G56/($G56+$H56)))</f>
        <v/>
      </c>
      <c r="L56" s="23">
        <f>IF($A56="","",IF($J56&gt;0,"BLOCKED",IF($F56&lt;17,"INCOMPLETE — "&amp;(17-$F56)&amp;" not recorded"&amp;IF($H56&gt;0," · "&amp;$H56&amp;" Advisory failing",""),IF($H56&gt;0,"PASSED WITH FAILURES — see Failure Log","PASS"))))</f>
        <v/>
      </c>
      <c r="M56" s="24" t="n"/>
    </row>
    <row r="57" ht="18" customHeight="1" s="42">
      <c r="A57" s="9" t="n"/>
      <c r="B57" s="10" t="n"/>
      <c r="C57" s="11" t="n"/>
      <c r="D57" s="11" t="n"/>
      <c r="E57" s="11" t="n"/>
      <c r="F57" s="12">
        <f>IF($A57="","",COUNTIFS('Check Results'!$A$5:$A$600,$A57,'Check Results'!$F$5:$F$600,"Pass")+COUNTIFS('Check Results'!$A$5:$A$600,$A57,'Check Results'!$F$5:$F$600,"Fail")+COUNTIFS('Check Results'!$A$5:$A$600,$A57,'Check Results'!$F$5:$F$600,"N/A"))</f>
        <v/>
      </c>
      <c r="G57" s="12">
        <f>IF($A57="","",COUNTIFS('Check Results'!$A$5:$A$600,$A57,'Check Results'!$F$5:$F$600,"Pass"))</f>
        <v/>
      </c>
      <c r="H57" s="12">
        <f>IF($A57="","",COUNTIFS('Check Results'!$A$5:$A$600,$A57,'Check Results'!$F$5:$F$600,"Fail"))</f>
        <v/>
      </c>
      <c r="I57" s="12">
        <f>IF($A57="","",COUNTIFS('Check Results'!$A$5:$A$600,$A57,'Check Results'!$F$5:$F$600,"N/A"))</f>
        <v/>
      </c>
      <c r="J57" s="13">
        <f>IF($A57="","",COUNTIFS('Check Results'!$A$5:$A$600,$A57,'Check Results'!$F$5:$F$600,"Fail",'Check Results'!$E$5:$E$600,"Blocking"))</f>
        <v/>
      </c>
      <c r="K57" s="14">
        <f>IF($A57="","",IF($G57+$H57=0,0,$G57/($G57+$H57)))</f>
        <v/>
      </c>
      <c r="L57" s="15">
        <f>IF($A57="","",IF($J57&gt;0,"BLOCKED",IF($F57&lt;17,"INCOMPLETE — "&amp;(17-$F57)&amp;" not recorded"&amp;IF($H57&gt;0," · "&amp;$H57&amp;" Advisory failing",""),IF($H57&gt;0,"PASSED WITH FAILURES — see Failure Log","PASS"))))</f>
        <v/>
      </c>
      <c r="M57" s="16" t="n"/>
    </row>
    <row r="58" ht="18" customHeight="1" s="42">
      <c r="A58" s="17" t="n"/>
      <c r="B58" s="18" t="n"/>
      <c r="C58" s="19" t="n"/>
      <c r="D58" s="19" t="n"/>
      <c r="E58" s="19" t="n"/>
      <c r="F58" s="20">
        <f>IF($A58="","",COUNTIFS('Check Results'!$A$5:$A$600,$A58,'Check Results'!$F$5:$F$600,"Pass")+COUNTIFS('Check Results'!$A$5:$A$600,$A58,'Check Results'!$F$5:$F$600,"Fail")+COUNTIFS('Check Results'!$A$5:$A$600,$A58,'Check Results'!$F$5:$F$600,"N/A"))</f>
        <v/>
      </c>
      <c r="G58" s="20">
        <f>IF($A58="","",COUNTIFS('Check Results'!$A$5:$A$600,$A58,'Check Results'!$F$5:$F$600,"Pass"))</f>
        <v/>
      </c>
      <c r="H58" s="20">
        <f>IF($A58="","",COUNTIFS('Check Results'!$A$5:$A$600,$A58,'Check Results'!$F$5:$F$600,"Fail"))</f>
        <v/>
      </c>
      <c r="I58" s="20">
        <f>IF($A58="","",COUNTIFS('Check Results'!$A$5:$A$600,$A58,'Check Results'!$F$5:$F$600,"N/A"))</f>
        <v/>
      </c>
      <c r="J58" s="21">
        <f>IF($A58="","",COUNTIFS('Check Results'!$A$5:$A$600,$A58,'Check Results'!$F$5:$F$600,"Fail",'Check Results'!$E$5:$E$600,"Blocking"))</f>
        <v/>
      </c>
      <c r="K58" s="22">
        <f>IF($A58="","",IF($G58+$H58=0,0,$G58/($G58+$H58)))</f>
        <v/>
      </c>
      <c r="L58" s="23">
        <f>IF($A58="","",IF($J58&gt;0,"BLOCKED",IF($F58&lt;17,"INCOMPLETE — "&amp;(17-$F58)&amp;" not recorded"&amp;IF($H58&gt;0," · "&amp;$H58&amp;" Advisory failing",""),IF($H58&gt;0,"PASSED WITH FAILURES — see Failure Log","PASS"))))</f>
        <v/>
      </c>
      <c r="M58" s="24" t="n"/>
    </row>
    <row r="59" ht="18" customHeight="1" s="42">
      <c r="A59" s="9" t="n"/>
      <c r="B59" s="10" t="n"/>
      <c r="C59" s="11" t="n"/>
      <c r="D59" s="11" t="n"/>
      <c r="E59" s="11" t="n"/>
      <c r="F59" s="12">
        <f>IF($A59="","",COUNTIFS('Check Results'!$A$5:$A$600,$A59,'Check Results'!$F$5:$F$600,"Pass")+COUNTIFS('Check Results'!$A$5:$A$600,$A59,'Check Results'!$F$5:$F$600,"Fail")+COUNTIFS('Check Results'!$A$5:$A$600,$A59,'Check Results'!$F$5:$F$600,"N/A"))</f>
        <v/>
      </c>
      <c r="G59" s="12">
        <f>IF($A59="","",COUNTIFS('Check Results'!$A$5:$A$600,$A59,'Check Results'!$F$5:$F$600,"Pass"))</f>
        <v/>
      </c>
      <c r="H59" s="12">
        <f>IF($A59="","",COUNTIFS('Check Results'!$A$5:$A$600,$A59,'Check Results'!$F$5:$F$600,"Fail"))</f>
        <v/>
      </c>
      <c r="I59" s="12">
        <f>IF($A59="","",COUNTIFS('Check Results'!$A$5:$A$600,$A59,'Check Results'!$F$5:$F$600,"N/A"))</f>
        <v/>
      </c>
      <c r="J59" s="13">
        <f>IF($A59="","",COUNTIFS('Check Results'!$A$5:$A$600,$A59,'Check Results'!$F$5:$F$600,"Fail",'Check Results'!$E$5:$E$600,"Blocking"))</f>
        <v/>
      </c>
      <c r="K59" s="14">
        <f>IF($A59="","",IF($G59+$H59=0,0,$G59/($G59+$H59)))</f>
        <v/>
      </c>
      <c r="L59" s="15">
        <f>IF($A59="","",IF($J59&gt;0,"BLOCKED",IF($F59&lt;17,"INCOMPLETE — "&amp;(17-$F59)&amp;" not recorded"&amp;IF($H59&gt;0," · "&amp;$H59&amp;" Advisory failing",""),IF($H59&gt;0,"PASSED WITH FAILURES — see Failure Log","PASS"))))</f>
        <v/>
      </c>
      <c r="M59" s="16" t="n"/>
    </row>
    <row r="60" ht="18" customHeight="1" s="42">
      <c r="A60" s="17" t="n"/>
      <c r="B60" s="18" t="n"/>
      <c r="C60" s="19" t="n"/>
      <c r="D60" s="19" t="n"/>
      <c r="E60" s="19" t="n"/>
      <c r="F60" s="20">
        <f>IF($A60="","",COUNTIFS('Check Results'!$A$5:$A$600,$A60,'Check Results'!$F$5:$F$600,"Pass")+COUNTIFS('Check Results'!$A$5:$A$600,$A60,'Check Results'!$F$5:$F$600,"Fail")+COUNTIFS('Check Results'!$A$5:$A$600,$A60,'Check Results'!$F$5:$F$600,"N/A"))</f>
        <v/>
      </c>
      <c r="G60" s="20">
        <f>IF($A60="","",COUNTIFS('Check Results'!$A$5:$A$600,$A60,'Check Results'!$F$5:$F$600,"Pass"))</f>
        <v/>
      </c>
      <c r="H60" s="20">
        <f>IF($A60="","",COUNTIFS('Check Results'!$A$5:$A$600,$A60,'Check Results'!$F$5:$F$600,"Fail"))</f>
        <v/>
      </c>
      <c r="I60" s="20">
        <f>IF($A60="","",COUNTIFS('Check Results'!$A$5:$A$600,$A60,'Check Results'!$F$5:$F$600,"N/A"))</f>
        <v/>
      </c>
      <c r="J60" s="21">
        <f>IF($A60="","",COUNTIFS('Check Results'!$A$5:$A$600,$A60,'Check Results'!$F$5:$F$600,"Fail",'Check Results'!$E$5:$E$600,"Blocking"))</f>
        <v/>
      </c>
      <c r="K60" s="22">
        <f>IF($A60="","",IF($G60+$H60=0,0,$G60/($G60+$H60)))</f>
        <v/>
      </c>
      <c r="L60" s="23">
        <f>IF($A60="","",IF($J60&gt;0,"BLOCKED",IF($F60&lt;17,"INCOMPLETE — "&amp;(17-$F60)&amp;" not recorded"&amp;IF($H60&gt;0," · "&amp;$H60&amp;" Advisory failing",""),IF($H60&gt;0,"PASSED WITH FAILURES — see Failure Log","PASS"))))</f>
        <v/>
      </c>
      <c r="M60" s="24" t="n"/>
    </row>
  </sheetData>
  <autoFilter ref="A4:M60"/>
  <mergeCells count="2">
    <mergeCell ref="A2:M2"/>
    <mergeCell ref="A1:M1"/>
  </mergeCells>
  <conditionalFormatting sqref="J5:J60">
    <cfRule type="cellIs" priority="5" operator="greaterThan" dxfId="11">
      <formula>0</formula>
    </cfRule>
  </conditionalFormatting>
  <conditionalFormatting sqref="L5:L60">
    <cfRule type="cellIs" priority="1" operator="equal" dxfId="2">
      <formula>"PASS"</formula>
    </cfRule>
    <cfRule type="cellIs" priority="2" operator="equal" dxfId="1">
      <formula>"BLOCKED"</formula>
    </cfRule>
    <cfRule type="expression" priority="3" dxfId="0">
      <formula>LEFT($L5,10)="INCOMPLETE"</formula>
    </cfRule>
    <cfRule type="expression" priority="4" dxfId="7">
      <formula>LEFT($L5,6)="PASSED"</formula>
    </cfRule>
  </conditionalFormatting>
  <dataValidations count="1">
    <dataValidation sqref="C5:C60" showDropDown="0" showInputMessage="0" showErrorMessage="0" allowBlank="1" type="list">
      <formula1>"Initial build,Post fact-table reload,Post measure change,Post report change,Pre-publication,Ad hoc"</formula1>
    </dataValidation>
  </dataValidation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K600"/>
  <sheetViews>
    <sheetView tabSelected="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4.5"/>
  <cols>
    <col width="10" customWidth="1" style="42" min="1" max="1"/>
    <col width="5" customWidth="1" style="42" min="2" max="2"/>
    <col width="26" customWidth="1" style="42" min="3" max="3"/>
    <col width="46" customWidth="1" style="42" min="4" max="4"/>
    <col width="11" customWidth="1" style="42" min="5" max="6"/>
    <col width="13" customWidth="1" style="42" min="6" max="6"/>
    <col width="42" customWidth="1" style="42" min="7" max="7"/>
    <col width="13" customWidth="1" style="42" min="8" max="9"/>
    <col width="13" customWidth="1" style="42" min="9" max="9"/>
    <col width="34" customWidth="1" style="42" min="10" max="10"/>
    <col width="30" customWidth="1" style="42" min="11" max="11"/>
  </cols>
  <sheetData>
    <row r="1" ht="24" customHeight="1" s="42">
      <c r="A1" s="62" t="inlineStr">
        <is>
          <t>Check Results — one row per check, per run</t>
        </is>
      </c>
    </row>
    <row r="2" ht="29.5" customHeight="1" s="42">
      <c r="A2" s="63" t="inlineStr">
        <is>
          <t>Fill in Result, Observed value and Date. Result drives every figure on the Run Summary tab. For a new run, copy the seventeen rows below, paste them underneath, change the Run ID and clear the results. Check, Pass criterion and Severity are quoted from document 02 §9 and the Check Catalog tab — do not reword them. For checks 7, 8, 15, 16 and 17, which are recorded at each report’s own report pass, keep Reports covered up to date; Result stays Not run until every report the check applies to is covered.</t>
        </is>
      </c>
    </row>
    <row r="3"/>
    <row r="4" ht="34" customHeight="1" s="42">
      <c r="A4" s="8" t="inlineStr">
        <is>
          <t>Run ID</t>
        </is>
      </c>
      <c r="B4" s="8" t="inlineStr">
        <is>
          <t>#</t>
        </is>
      </c>
      <c r="C4" s="8" t="inlineStr">
        <is>
          <t>Check</t>
        </is>
      </c>
      <c r="D4" s="8" t="inlineStr">
        <is>
          <t>Pass criterion</t>
        </is>
      </c>
      <c r="E4" s="8" t="inlineStr">
        <is>
          <t>Severity</t>
        </is>
      </c>
      <c r="F4" s="8" t="inlineStr">
        <is>
          <t>Result</t>
        </is>
      </c>
      <c r="G4" s="8" t="inlineStr">
        <is>
          <t>Observed value / evidence</t>
        </is>
      </c>
      <c r="H4" s="8" t="inlineStr">
        <is>
          <t>Checked by</t>
        </is>
      </c>
      <c r="I4" s="8" t="inlineStr">
        <is>
          <t>Date checked</t>
        </is>
      </c>
      <c r="J4" s="8" t="inlineStr">
        <is>
          <t>Notes</t>
        </is>
      </c>
      <c r="K4" s="8" t="inlineStr">
        <is>
          <t>Reports covered</t>
        </is>
      </c>
    </row>
    <row r="5" ht="42" customHeight="1" s="42">
      <c r="A5" s="9" t="inlineStr">
        <is>
          <t>Run 1</t>
        </is>
      </c>
      <c r="B5" s="13" t="n">
        <v>1</v>
      </c>
      <c r="C5" s="25" t="inlineStr">
        <is>
          <t>Staged versus loaded rows</t>
        </is>
      </c>
      <c r="D5" s="16" t="inlineStr">
        <is>
          <t>Zero difference, or every dropped row explained and documented</t>
        </is>
      </c>
      <c r="E5" s="26" t="inlineStr">
        <is>
          <t>Blocking</t>
        </is>
      </c>
      <c r="F5" s="13" t="inlineStr">
        <is>
          <t>Not run</t>
        </is>
      </c>
      <c r="G5" s="16" t="n"/>
      <c r="H5" s="12" t="n"/>
      <c r="I5" s="27" t="n"/>
      <c r="J5" s="16" t="n"/>
      <c r="K5" s="16" t="n"/>
    </row>
    <row r="6" ht="42" customHeight="1" s="42">
      <c r="A6" s="17" t="inlineStr">
        <is>
          <t>Run 1</t>
        </is>
      </c>
      <c r="B6" s="21" t="n">
        <v>2</v>
      </c>
      <c r="C6" s="28" t="inlineStr">
        <is>
          <t>Sector month coverage</t>
        </is>
      </c>
      <c r="D6" s="24" t="inlineStr">
        <is>
          <t>No gaps in the monthly sequence for 44X72 across the window</t>
        </is>
      </c>
      <c r="E6" s="29" t="inlineStr">
        <is>
          <t>Blocking</t>
        </is>
      </c>
      <c r="F6" s="21" t="inlineStr">
        <is>
          <t>Not run</t>
        </is>
      </c>
      <c r="G6" s="24" t="n"/>
      <c r="H6" s="20" t="n"/>
      <c r="I6" s="30" t="n"/>
      <c r="J6" s="24" t="n"/>
      <c r="K6" s="24" t="n"/>
    </row>
    <row r="7" ht="42" customHeight="1" s="42">
      <c r="A7" s="9" t="inlineStr">
        <is>
          <t>Run 1</t>
        </is>
      </c>
      <c r="B7" s="13" t="n">
        <v>3</v>
      </c>
      <c r="C7" s="25" t="inlineStr">
        <is>
          <t>Aggregate reconciliation</t>
        </is>
      </c>
      <c r="D7" s="16" t="inlineStr">
        <is>
          <t>Non-aggregate categories approximate 44X72 directionally; categories overlap, so exact equality is not expected - document what you find</t>
        </is>
      </c>
      <c r="E7" s="31" t="inlineStr">
        <is>
          <t>Advisory</t>
        </is>
      </c>
      <c r="F7" s="13" t="inlineStr">
        <is>
          <t>Not run</t>
        </is>
      </c>
      <c r="G7" s="16" t="n"/>
      <c r="H7" s="12" t="n"/>
      <c r="I7" s="27" t="n"/>
      <c r="J7" s="16" t="n"/>
      <c r="K7" s="16" t="n"/>
    </row>
    <row r="8" ht="42" customHeight="1" s="42">
      <c r="A8" s="17" t="inlineStr">
        <is>
          <t>Run 1</t>
        </is>
      </c>
      <c r="B8" s="21" t="n">
        <v>4</v>
      </c>
      <c r="C8" s="28" t="inlineStr">
        <is>
          <t>Census versus FRED cross-check</t>
        </is>
      </c>
      <c r="D8" s="24" t="inlineStr">
        <is>
          <t>MARTS 452 for a given month is within rounding of MRTSSM452USS. A material gap means a wrong code or a seasonal-adjustment mismatch</t>
        </is>
      </c>
      <c r="E8" s="29" t="inlineStr">
        <is>
          <t>Blocking</t>
        </is>
      </c>
      <c r="F8" s="21" t="inlineStr">
        <is>
          <t>Not run</t>
        </is>
      </c>
      <c r="G8" s="24" t="n"/>
      <c r="H8" s="20" t="n"/>
      <c r="I8" s="30" t="n"/>
      <c r="J8" s="24" t="n"/>
      <c r="K8" s="24" t="n"/>
    </row>
    <row r="9" ht="42" customHeight="1" s="42">
      <c r="A9" s="9" t="inlineStr">
        <is>
          <t>Run 1</t>
        </is>
      </c>
      <c r="B9" s="13" t="n">
        <v>5</v>
      </c>
      <c r="C9" s="25" t="inlineStr">
        <is>
          <t>Referential integrity</t>
        </is>
      </c>
      <c r="D9" s="16" t="inlineStr">
        <is>
          <t>The §6.5 coverage query returns zero rows</t>
        </is>
      </c>
      <c r="E9" s="26" t="inlineStr">
        <is>
          <t>Blocking</t>
        </is>
      </c>
      <c r="F9" s="13" t="inlineStr">
        <is>
          <t>Not run</t>
        </is>
      </c>
      <c r="G9" s="16" t="n"/>
      <c r="H9" s="12" t="n"/>
      <c r="I9" s="27" t="n"/>
      <c r="J9" s="16" t="n"/>
      <c r="K9" s="16" t="n"/>
    </row>
    <row r="10" ht="42" customHeight="1" s="42">
      <c r="A10" s="17" t="inlineStr">
        <is>
          <t>Run 1</t>
        </is>
      </c>
      <c r="B10" s="21" t="n">
        <v>6</v>
      </c>
      <c r="C10" s="28" t="inlineStr">
        <is>
          <t>Date relationship integrity</t>
        </is>
      </c>
      <c r="D10" s="24" t="inlineStr">
        <is>
          <t>No blank row appears in DimDate in Model view</t>
        </is>
      </c>
      <c r="E10" s="29" t="inlineStr">
        <is>
          <t>Blocking</t>
        </is>
      </c>
      <c r="F10" s="21" t="inlineStr">
        <is>
          <t>Not run</t>
        </is>
      </c>
      <c r="G10" s="24" t="n"/>
      <c r="H10" s="20" t="n"/>
      <c r="I10" s="30" t="n"/>
      <c r="J10" s="24" t="n"/>
      <c r="K10" s="24" t="n"/>
    </row>
    <row r="11" ht="42" customHeight="1" s="42">
      <c r="A11" s="9" t="inlineStr">
        <is>
          <t>Run 1</t>
        </is>
      </c>
      <c r="B11" s="13" t="n">
        <v>7</v>
      </c>
      <c r="C11" s="25" t="inlineStr">
        <is>
          <t>Measure unit consistency</t>
        </is>
      </c>
      <c r="D11" s="16" t="inlineStr">
        <is>
          <t>No visual places a percent and a dollar series on one axis without indexing or a secondary axis</t>
        </is>
      </c>
      <c r="E11" s="26" t="inlineStr">
        <is>
          <t>Blocking</t>
        </is>
      </c>
      <c r="F11" s="13" t="inlineStr">
        <is>
          <t>Not run</t>
        </is>
      </c>
      <c r="G11" s="16" t="n"/>
      <c r="H11" s="12" t="n"/>
      <c r="I11" s="27" t="n"/>
      <c r="J11" s="16" t="n"/>
      <c r="K11" s="16" t="inlineStr">
        <is>
          <t>R1: not run · R2: not run · R3: not run</t>
        </is>
      </c>
    </row>
    <row r="12" ht="42" customHeight="1" s="42">
      <c r="A12" s="17" t="inlineStr">
        <is>
          <t>Run 1</t>
        </is>
      </c>
      <c r="B12" s="21" t="n">
        <v>8</v>
      </c>
      <c r="C12" s="28" t="inlineStr">
        <is>
          <t>Cases versus dollars separation</t>
        </is>
      </c>
      <c r="D12" s="24" t="inlineStr">
        <is>
          <t>No visual, matrix or sentence places a case measure beside a nominal dollar measure. Every Tier 3 axis is labelled Cases. The only permitted pairing is Total Cases YoY % against National Liquor Stores Real YoY %</t>
        </is>
      </c>
      <c r="E12" s="29" t="inlineStr">
        <is>
          <t>Blocking</t>
        </is>
      </c>
      <c r="F12" s="21" t="inlineStr">
        <is>
          <t>Not run</t>
        </is>
      </c>
      <c r="G12" s="24" t="n"/>
      <c r="H12" s="20" t="n"/>
      <c r="I12" s="30" t="n"/>
      <c r="J12" s="24" t="n"/>
      <c r="K12" s="24" t="inlineStr">
        <is>
          <t>R1: not run · R2: not run · R3: not run</t>
        </is>
      </c>
    </row>
    <row r="13" ht="42" customHeight="1" s="42">
      <c r="A13" s="9" t="inlineStr">
        <is>
          <t>Run 1</t>
        </is>
      </c>
      <c r="B13" s="13" t="n">
        <v>9</v>
      </c>
      <c r="C13" s="25" t="inlineStr">
        <is>
          <t>Channel baseline integrity</t>
        </is>
      </c>
      <c r="D13" s="16" t="inlineStr">
        <is>
          <t>On-Premise Share 2019 Baseline returns a value under every slicer combination used, including a BeverageClass with no 2019 history</t>
        </is>
      </c>
      <c r="E13" s="26" t="inlineStr">
        <is>
          <t>Blocking</t>
        </is>
      </c>
      <c r="F13" s="13" t="inlineStr">
        <is>
          <t>Not run</t>
        </is>
      </c>
      <c r="G13" s="16" t="n"/>
      <c r="H13" s="12" t="n"/>
      <c r="I13" s="27" t="n"/>
      <c r="J13" s="16" t="n"/>
      <c r="K13" s="16" t="n"/>
    </row>
    <row r="14" ht="42" customHeight="1" s="42">
      <c r="A14" s="17" t="inlineStr">
        <is>
          <t>Run 1</t>
        </is>
      </c>
      <c r="B14" s="21" t="n">
        <v>10</v>
      </c>
      <c r="C14" s="28" t="inlineStr">
        <is>
          <t>Channel story has a national counterpart</t>
        </is>
      </c>
      <c r="D14" s="24" t="inlineStr">
        <is>
          <t>The 2020 divergence between 722 and 4453 moves in the same direction and months as the local on-premise collapse. If not, the local series reflects county policy rather than consumer behaviour and the narrative must be reframed</t>
        </is>
      </c>
      <c r="E14" s="32" t="inlineStr">
        <is>
          <t>Advisory</t>
        </is>
      </c>
      <c r="F14" s="21" t="inlineStr">
        <is>
          <t>Not run</t>
        </is>
      </c>
      <c r="G14" s="24" t="n"/>
      <c r="H14" s="20" t="n"/>
      <c r="I14" s="30" t="n"/>
      <c r="J14" s="24" t="n"/>
      <c r="K14" s="24" t="n"/>
    </row>
    <row r="15" ht="42" customHeight="1" s="42">
      <c r="A15" s="9" t="inlineStr">
        <is>
          <t>Run 1</t>
        </is>
      </c>
      <c r="B15" s="13" t="n">
        <v>11</v>
      </c>
      <c r="C15" s="25" t="inlineStr">
        <is>
          <t>Negative value handling</t>
        </is>
      </c>
      <c r="D15" s="16" t="inlineStr">
        <is>
          <t>Return Rows is non-zero and the report explains it rather than filtering it away</t>
        </is>
      </c>
      <c r="E15" s="31" t="inlineStr">
        <is>
          <t>Advisory</t>
        </is>
      </c>
      <c r="F15" s="13" t="inlineStr">
        <is>
          <t>Not run</t>
        </is>
      </c>
      <c r="G15" s="16" t="n"/>
      <c r="H15" s="12" t="n"/>
      <c r="I15" s="27" t="n"/>
      <c r="J15" s="16" t="n"/>
      <c r="K15" s="16" t="n"/>
    </row>
    <row r="16" ht="42" customHeight="1" s="42">
      <c r="A16" s="17" t="inlineStr">
        <is>
          <t>Run 1</t>
        </is>
      </c>
      <c r="B16" s="21" t="n">
        <v>12</v>
      </c>
      <c r="C16" s="28" t="inlineStr">
        <is>
          <t>Lifecycle columns current</t>
        </is>
      </c>
      <c r="D16" s="24" t="inlineStr">
        <is>
          <t>MAX(LastSeenDateKey) in DimItem equals MAX(DateKey) in the fact. A mismatch means §5.8 was not re-run and every survival figure is stale</t>
        </is>
      </c>
      <c r="E16" s="29" t="inlineStr">
        <is>
          <t>Blocking</t>
        </is>
      </c>
      <c r="F16" s="21" t="inlineStr">
        <is>
          <t>Not run</t>
        </is>
      </c>
      <c r="G16" s="24" t="n"/>
      <c r="H16" s="20" t="n"/>
      <c r="I16" s="30" t="n"/>
      <c r="J16" s="24" t="n"/>
      <c r="K16" s="24" t="n"/>
    </row>
    <row r="17" ht="42" customHeight="1" s="42">
      <c r="A17" s="9" t="inlineStr">
        <is>
          <t>Run 1</t>
        </is>
      </c>
      <c r="B17" s="13" t="n">
        <v>13</v>
      </c>
      <c r="C17" s="25" t="inlineStr">
        <is>
          <t>Cohort census</t>
        </is>
      </c>
      <c r="D17" s="16" t="inlineStr">
        <is>
          <t>Cohort Size summed across CohortYear equals the DimItem row count</t>
        </is>
      </c>
      <c r="E17" s="26" t="inlineStr">
        <is>
          <t>Blocking</t>
        </is>
      </c>
      <c r="F17" s="13" t="inlineStr">
        <is>
          <t>Not run</t>
        </is>
      </c>
      <c r="G17" s="16" t="n"/>
      <c r="H17" s="12" t="n"/>
      <c r="I17" s="27" t="n"/>
      <c r="J17" s="16" t="n"/>
      <c r="K17" s="16" t="n"/>
    </row>
    <row r="18" ht="42" customHeight="1" s="42">
      <c r="A18" s="17" t="inlineStr">
        <is>
          <t>Run 1</t>
        </is>
      </c>
      <c r="B18" s="21" t="n">
        <v>14</v>
      </c>
      <c r="C18" s="28" t="inlineStr">
        <is>
          <t>Pareto accumulation</t>
        </is>
      </c>
      <c r="D18" s="24" t="inlineStr">
        <is>
          <t>Cumulative Cases % reaches exactly 100% at the lowest-ranked item under every slicer combination</t>
        </is>
      </c>
      <c r="E18" s="29" t="inlineStr">
        <is>
          <t>Blocking</t>
        </is>
      </c>
      <c r="F18" s="21" t="inlineStr">
        <is>
          <t>Not run</t>
        </is>
      </c>
      <c r="G18" s="24" t="n"/>
      <c r="H18" s="20" t="n"/>
      <c r="I18" s="30" t="n"/>
      <c r="J18" s="24" t="n"/>
      <c r="K18" s="24" t="n"/>
    </row>
    <row r="19" ht="42" customHeight="1" s="42">
      <c r="A19" s="9" t="inlineStr">
        <is>
          <t>Run 1</t>
        </is>
      </c>
      <c r="B19" s="13" t="n">
        <v>15</v>
      </c>
      <c r="C19" s="25" t="inlineStr">
        <is>
          <t>Coefficients carry their sample</t>
        </is>
      </c>
      <c r="D19" s="16" t="inlineStr">
        <is>
          <t>Every visual showing a slope or correlation also shows Observation Count</t>
        </is>
      </c>
      <c r="E19" s="26" t="inlineStr">
        <is>
          <t>Blocking</t>
        </is>
      </c>
      <c r="F19" s="13" t="inlineStr">
        <is>
          <t>Not run</t>
        </is>
      </c>
      <c r="G19" s="16" t="n"/>
      <c r="H19" s="12" t="n"/>
      <c r="I19" s="27" t="n"/>
      <c r="J19" s="16" t="n"/>
      <c r="K19" s="16" t="inlineStr">
        <is>
          <t>R2: not run (only R2 has slopes)</t>
        </is>
      </c>
    </row>
    <row r="20" ht="42" customHeight="1" s="42">
      <c r="A20" s="17" t="inlineStr">
        <is>
          <t>Run 1</t>
        </is>
      </c>
      <c r="B20" s="21" t="n">
        <v>16</v>
      </c>
      <c r="C20" s="28" t="inlineStr">
        <is>
          <t>Left-censored cohort labelled</t>
        </is>
      </c>
      <c r="D20" s="24" t="inlineStr">
        <is>
          <t>2017 is excluded from or explicitly labelled on every survival visual</t>
        </is>
      </c>
      <c r="E20" s="29" t="inlineStr">
        <is>
          <t>Blocking</t>
        </is>
      </c>
      <c r="F20" s="21" t="inlineStr">
        <is>
          <t>Not run</t>
        </is>
      </c>
      <c r="G20" s="24" t="n"/>
      <c r="H20" s="20" t="n"/>
      <c r="I20" s="30" t="n"/>
      <c r="J20" s="24" t="n"/>
      <c r="K20" s="24" t="inlineStr">
        <is>
          <t>R3: not run (only R3 has survival visuals)</t>
        </is>
      </c>
    </row>
    <row r="21" ht="42" customHeight="1" s="42">
      <c r="A21" s="9" t="inlineStr">
        <is>
          <t>Run 1</t>
        </is>
      </c>
      <c r="B21" s="13" t="n">
        <v>17</v>
      </c>
      <c r="C21" s="25" t="inlineStr">
        <is>
          <t>Report-to-model binding</t>
        </is>
      </c>
      <c r="D21" s="16" t="inlineStr">
        <is>
          <t>All three reports open against the published model with no local model - the live connection indicator, not an editable Fields pane</t>
        </is>
      </c>
      <c r="E21" s="26" t="inlineStr">
        <is>
          <t>Blocking</t>
        </is>
      </c>
      <c r="F21" s="13" t="inlineStr">
        <is>
          <t>Not run</t>
        </is>
      </c>
      <c r="G21" s="16" t="n"/>
      <c r="H21" s="12" t="n"/>
      <c r="I21" s="27" t="n"/>
      <c r="J21" s="16" t="n"/>
      <c r="K21" s="16" t="inlineStr">
        <is>
          <t>R1: not run · R2: not run · R3: not run</t>
        </is>
      </c>
    </row>
    <row r="22" ht="18" customHeight="1" s="42">
      <c r="A22" s="19" t="n"/>
      <c r="B22" s="19" t="n"/>
      <c r="C22" s="19" t="n"/>
      <c r="D22" s="19" t="n"/>
      <c r="E22" s="19" t="n"/>
      <c r="F22" s="19" t="n"/>
      <c r="G22" s="19" t="n"/>
      <c r="H22" s="19" t="n"/>
      <c r="I22" s="33" t="n"/>
      <c r="J22" s="19" t="n"/>
      <c r="K22" s="19" t="n"/>
    </row>
    <row r="23" ht="18" customHeight="1" s="42">
      <c r="A23" s="11" t="n"/>
      <c r="B23" s="11" t="n"/>
      <c r="C23" s="11" t="n"/>
      <c r="D23" s="11" t="n"/>
      <c r="E23" s="11" t="n"/>
      <c r="F23" s="11" t="n"/>
      <c r="G23" s="11" t="n"/>
      <c r="H23" s="11" t="n"/>
      <c r="I23" s="34" t="n"/>
      <c r="J23" s="11" t="n"/>
      <c r="K23" s="11" t="n"/>
    </row>
    <row r="24" ht="18" customHeight="1" s="42">
      <c r="A24" s="19" t="n"/>
      <c r="B24" s="19" t="n"/>
      <c r="C24" s="19" t="n"/>
      <c r="D24" s="19" t="n"/>
      <c r="E24" s="19" t="n"/>
      <c r="F24" s="19" t="n"/>
      <c r="G24" s="19" t="n"/>
      <c r="H24" s="19" t="n"/>
      <c r="I24" s="33" t="n"/>
      <c r="J24" s="19" t="n"/>
      <c r="K24" s="19" t="n"/>
    </row>
    <row r="25" ht="18" customHeight="1" s="42">
      <c r="A25" s="11" t="n"/>
      <c r="B25" s="11" t="n"/>
      <c r="C25" s="11" t="n"/>
      <c r="D25" s="11" t="n"/>
      <c r="E25" s="11" t="n"/>
      <c r="F25" s="11" t="n"/>
      <c r="G25" s="11" t="n"/>
      <c r="H25" s="11" t="n"/>
      <c r="I25" s="34" t="n"/>
      <c r="J25" s="11" t="n"/>
      <c r="K25" s="11" t="n"/>
    </row>
    <row r="26" ht="18" customHeight="1" s="42">
      <c r="A26" s="19" t="n"/>
      <c r="B26" s="19" t="n"/>
      <c r="C26" s="19" t="n"/>
      <c r="D26" s="19" t="n"/>
      <c r="E26" s="19" t="n"/>
      <c r="F26" s="19" t="n"/>
      <c r="G26" s="19" t="n"/>
      <c r="H26" s="19" t="n"/>
      <c r="I26" s="33" t="n"/>
      <c r="J26" s="19" t="n"/>
      <c r="K26" s="19" t="n"/>
    </row>
    <row r="27" ht="18" customHeight="1" s="42">
      <c r="A27" s="11" t="n"/>
      <c r="B27" s="11" t="n"/>
      <c r="C27" s="11" t="n"/>
      <c r="D27" s="11" t="n"/>
      <c r="E27" s="11" t="n"/>
      <c r="F27" s="11" t="n"/>
      <c r="G27" s="11" t="n"/>
      <c r="H27" s="11" t="n"/>
      <c r="I27" s="34" t="n"/>
      <c r="J27" s="11" t="n"/>
      <c r="K27" s="11" t="n"/>
    </row>
    <row r="28" ht="18" customHeight="1" s="42">
      <c r="A28" s="19" t="n"/>
      <c r="B28" s="19" t="n"/>
      <c r="C28" s="19" t="n"/>
      <c r="D28" s="19" t="n"/>
      <c r="E28" s="19" t="n"/>
      <c r="F28" s="19" t="n"/>
      <c r="G28" s="19" t="n"/>
      <c r="H28" s="19" t="n"/>
      <c r="I28" s="33" t="n"/>
      <c r="J28" s="19" t="n"/>
      <c r="K28" s="19" t="n"/>
    </row>
    <row r="29" ht="18" customHeight="1" s="42">
      <c r="A29" s="11" t="n"/>
      <c r="B29" s="11" t="n"/>
      <c r="C29" s="11" t="n"/>
      <c r="D29" s="11" t="n"/>
      <c r="E29" s="11" t="n"/>
      <c r="F29" s="11" t="n"/>
      <c r="G29" s="11" t="n"/>
      <c r="H29" s="11" t="n"/>
      <c r="I29" s="34" t="n"/>
      <c r="J29" s="11" t="n"/>
      <c r="K29" s="11" t="n"/>
    </row>
    <row r="30" ht="18" customHeight="1" s="42">
      <c r="A30" s="19" t="n"/>
      <c r="B30" s="19" t="n"/>
      <c r="C30" s="19" t="n"/>
      <c r="D30" s="19" t="n"/>
      <c r="E30" s="19" t="n"/>
      <c r="F30" s="19" t="n"/>
      <c r="G30" s="19" t="n"/>
      <c r="H30" s="19" t="n"/>
      <c r="I30" s="33" t="n"/>
      <c r="J30" s="19" t="n"/>
      <c r="K30" s="19" t="n"/>
    </row>
    <row r="31" ht="18" customHeight="1" s="42">
      <c r="A31" s="11" t="n"/>
      <c r="B31" s="11" t="n"/>
      <c r="C31" s="11" t="n"/>
      <c r="D31" s="11" t="n"/>
      <c r="E31" s="11" t="n"/>
      <c r="F31" s="11" t="n"/>
      <c r="G31" s="11" t="n"/>
      <c r="H31" s="11" t="n"/>
      <c r="I31" s="34" t="n"/>
      <c r="J31" s="11" t="n"/>
      <c r="K31" s="11" t="n"/>
    </row>
    <row r="32" ht="18" customHeight="1" s="42">
      <c r="A32" s="19" t="n"/>
      <c r="B32" s="19" t="n"/>
      <c r="C32" s="19" t="n"/>
      <c r="D32" s="19" t="n"/>
      <c r="E32" s="19" t="n"/>
      <c r="F32" s="19" t="n"/>
      <c r="G32" s="19" t="n"/>
      <c r="H32" s="19" t="n"/>
      <c r="I32" s="33" t="n"/>
      <c r="J32" s="19" t="n"/>
      <c r="K32" s="19" t="n"/>
    </row>
    <row r="33" ht="18" customHeight="1" s="42">
      <c r="A33" s="11" t="n"/>
      <c r="B33" s="11" t="n"/>
      <c r="C33" s="11" t="n"/>
      <c r="D33" s="11" t="n"/>
      <c r="E33" s="11" t="n"/>
      <c r="F33" s="11" t="n"/>
      <c r="G33" s="11" t="n"/>
      <c r="H33" s="11" t="n"/>
      <c r="I33" s="34" t="n"/>
      <c r="J33" s="11" t="n"/>
      <c r="K33" s="11" t="n"/>
    </row>
    <row r="34" ht="18" customHeight="1" s="42">
      <c r="A34" s="19" t="n"/>
      <c r="B34" s="19" t="n"/>
      <c r="C34" s="19" t="n"/>
      <c r="D34" s="19" t="n"/>
      <c r="E34" s="19" t="n"/>
      <c r="F34" s="19" t="n"/>
      <c r="G34" s="19" t="n"/>
      <c r="H34" s="19" t="n"/>
      <c r="I34" s="33" t="n"/>
      <c r="J34" s="19" t="n"/>
      <c r="K34" s="19" t="n"/>
    </row>
    <row r="35" ht="18" customHeight="1" s="42">
      <c r="A35" s="11" t="n"/>
      <c r="B35" s="11" t="n"/>
      <c r="C35" s="11" t="n"/>
      <c r="D35" s="11" t="n"/>
      <c r="E35" s="11" t="n"/>
      <c r="F35" s="11" t="n"/>
      <c r="G35" s="11" t="n"/>
      <c r="H35" s="11" t="n"/>
      <c r="I35" s="34" t="n"/>
      <c r="J35" s="11" t="n"/>
      <c r="K35" s="11" t="n"/>
    </row>
    <row r="36" ht="18" customHeight="1" s="42">
      <c r="A36" s="19" t="n"/>
      <c r="B36" s="19" t="n"/>
      <c r="C36" s="19" t="n"/>
      <c r="D36" s="19" t="n"/>
      <c r="E36" s="19" t="n"/>
      <c r="F36" s="19" t="n"/>
      <c r="G36" s="19" t="n"/>
      <c r="H36" s="19" t="n"/>
      <c r="I36" s="33" t="n"/>
      <c r="J36" s="19" t="n"/>
      <c r="K36" s="19" t="n"/>
    </row>
    <row r="37" ht="18" customHeight="1" s="42">
      <c r="A37" s="11" t="n"/>
      <c r="B37" s="11" t="n"/>
      <c r="C37" s="11" t="n"/>
      <c r="D37" s="11" t="n"/>
      <c r="E37" s="11" t="n"/>
      <c r="F37" s="11" t="n"/>
      <c r="G37" s="11" t="n"/>
      <c r="H37" s="11" t="n"/>
      <c r="I37" s="34" t="n"/>
      <c r="J37" s="11" t="n"/>
      <c r="K37" s="11" t="n"/>
    </row>
    <row r="38" ht="18" customHeight="1" s="42">
      <c r="A38" s="19" t="n"/>
      <c r="B38" s="19" t="n"/>
      <c r="C38" s="19" t="n"/>
      <c r="D38" s="19" t="n"/>
      <c r="E38" s="19" t="n"/>
      <c r="F38" s="19" t="n"/>
      <c r="G38" s="19" t="n"/>
      <c r="H38" s="19" t="n"/>
      <c r="I38" s="33" t="n"/>
      <c r="J38" s="19" t="n"/>
      <c r="K38" s="19" t="n"/>
    </row>
    <row r="39" ht="18" customHeight="1" s="42">
      <c r="A39" s="11" t="n"/>
      <c r="B39" s="11" t="n"/>
      <c r="C39" s="11" t="n"/>
      <c r="D39" s="11" t="n"/>
      <c r="E39" s="11" t="n"/>
      <c r="F39" s="11" t="n"/>
      <c r="G39" s="11" t="n"/>
      <c r="H39" s="11" t="n"/>
      <c r="I39" s="34" t="n"/>
      <c r="J39" s="11" t="n"/>
      <c r="K39" s="11" t="n"/>
    </row>
    <row r="40" ht="18" customHeight="1" s="42">
      <c r="A40" s="19" t="n"/>
      <c r="B40" s="19" t="n"/>
      <c r="C40" s="19" t="n"/>
      <c r="D40" s="19" t="n"/>
      <c r="E40" s="19" t="n"/>
      <c r="F40" s="19" t="n"/>
      <c r="G40" s="19" t="n"/>
      <c r="H40" s="19" t="n"/>
      <c r="I40" s="33" t="n"/>
      <c r="J40" s="19" t="n"/>
      <c r="K40" s="19" t="n"/>
    </row>
    <row r="41" ht="18" customHeight="1" s="42">
      <c r="A41" s="11" t="n"/>
      <c r="B41" s="11" t="n"/>
      <c r="C41" s="11" t="n"/>
      <c r="D41" s="11" t="n"/>
      <c r="E41" s="11" t="n"/>
      <c r="F41" s="11" t="n"/>
      <c r="G41" s="11" t="n"/>
      <c r="H41" s="11" t="n"/>
      <c r="I41" s="34" t="n"/>
      <c r="J41" s="11" t="n"/>
      <c r="K41" s="11" t="n"/>
    </row>
    <row r="42" ht="18" customHeight="1" s="42">
      <c r="A42" s="19" t="n"/>
      <c r="B42" s="19" t="n"/>
      <c r="C42" s="19" t="n"/>
      <c r="D42" s="19" t="n"/>
      <c r="E42" s="19" t="n"/>
      <c r="F42" s="19" t="n"/>
      <c r="G42" s="19" t="n"/>
      <c r="H42" s="19" t="n"/>
      <c r="I42" s="33" t="n"/>
      <c r="J42" s="19" t="n"/>
      <c r="K42" s="19" t="n"/>
    </row>
    <row r="43" ht="18" customHeight="1" s="42">
      <c r="A43" s="11" t="n"/>
      <c r="B43" s="11" t="n"/>
      <c r="C43" s="11" t="n"/>
      <c r="D43" s="11" t="n"/>
      <c r="E43" s="11" t="n"/>
      <c r="F43" s="11" t="n"/>
      <c r="G43" s="11" t="n"/>
      <c r="H43" s="11" t="n"/>
      <c r="I43" s="34" t="n"/>
      <c r="J43" s="11" t="n"/>
      <c r="K43" s="11" t="n"/>
    </row>
    <row r="44" ht="18" customHeight="1" s="42">
      <c r="A44" s="19" t="n"/>
      <c r="B44" s="19" t="n"/>
      <c r="C44" s="19" t="n"/>
      <c r="D44" s="19" t="n"/>
      <c r="E44" s="19" t="n"/>
      <c r="F44" s="19" t="n"/>
      <c r="G44" s="19" t="n"/>
      <c r="H44" s="19" t="n"/>
      <c r="I44" s="33" t="n"/>
      <c r="J44" s="19" t="n"/>
      <c r="K44" s="19" t="n"/>
    </row>
    <row r="45" ht="18" customHeight="1" s="42">
      <c r="A45" s="11" t="n"/>
      <c r="B45" s="11" t="n"/>
      <c r="C45" s="11" t="n"/>
      <c r="D45" s="11" t="n"/>
      <c r="E45" s="11" t="n"/>
      <c r="F45" s="11" t="n"/>
      <c r="G45" s="11" t="n"/>
      <c r="H45" s="11" t="n"/>
      <c r="I45" s="34" t="n"/>
      <c r="J45" s="11" t="n"/>
      <c r="K45" s="11" t="n"/>
    </row>
    <row r="46" ht="18" customHeight="1" s="42">
      <c r="A46" s="19" t="n"/>
      <c r="B46" s="19" t="n"/>
      <c r="C46" s="19" t="n"/>
      <c r="D46" s="19" t="n"/>
      <c r="E46" s="19" t="n"/>
      <c r="F46" s="19" t="n"/>
      <c r="G46" s="19" t="n"/>
      <c r="H46" s="19" t="n"/>
      <c r="I46" s="33" t="n"/>
      <c r="J46" s="19" t="n"/>
      <c r="K46" s="19" t="n"/>
    </row>
    <row r="47" ht="18" customHeight="1" s="42">
      <c r="A47" s="11" t="n"/>
      <c r="B47" s="11" t="n"/>
      <c r="C47" s="11" t="n"/>
      <c r="D47" s="11" t="n"/>
      <c r="E47" s="11" t="n"/>
      <c r="F47" s="11" t="n"/>
      <c r="G47" s="11" t="n"/>
      <c r="H47" s="11" t="n"/>
      <c r="I47" s="34" t="n"/>
      <c r="J47" s="11" t="n"/>
      <c r="K47" s="11" t="n"/>
    </row>
    <row r="48" ht="18" customHeight="1" s="42">
      <c r="A48" s="19" t="n"/>
      <c r="B48" s="19" t="n"/>
      <c r="C48" s="19" t="n"/>
      <c r="D48" s="19" t="n"/>
      <c r="E48" s="19" t="n"/>
      <c r="F48" s="19" t="n"/>
      <c r="G48" s="19" t="n"/>
      <c r="H48" s="19" t="n"/>
      <c r="I48" s="33" t="n"/>
      <c r="J48" s="19" t="n"/>
      <c r="K48" s="19" t="n"/>
    </row>
    <row r="49" ht="18" customHeight="1" s="42">
      <c r="A49" s="11" t="n"/>
      <c r="B49" s="11" t="n"/>
      <c r="C49" s="11" t="n"/>
      <c r="D49" s="11" t="n"/>
      <c r="E49" s="11" t="n"/>
      <c r="F49" s="11" t="n"/>
      <c r="G49" s="11" t="n"/>
      <c r="H49" s="11" t="n"/>
      <c r="I49" s="34" t="n"/>
      <c r="J49" s="11" t="n"/>
      <c r="K49" s="11" t="n"/>
    </row>
    <row r="50" ht="18" customHeight="1" s="42">
      <c r="A50" s="19" t="n"/>
      <c r="B50" s="19" t="n"/>
      <c r="C50" s="19" t="n"/>
      <c r="D50" s="19" t="n"/>
      <c r="E50" s="19" t="n"/>
      <c r="F50" s="19" t="n"/>
      <c r="G50" s="19" t="n"/>
      <c r="H50" s="19" t="n"/>
      <c r="I50" s="33" t="n"/>
      <c r="J50" s="19" t="n"/>
      <c r="K50" s="19" t="n"/>
    </row>
    <row r="51" ht="18" customHeight="1" s="42">
      <c r="A51" s="11" t="n"/>
      <c r="B51" s="11" t="n"/>
      <c r="C51" s="11" t="n"/>
      <c r="D51" s="11" t="n"/>
      <c r="E51" s="11" t="n"/>
      <c r="F51" s="11" t="n"/>
      <c r="G51" s="11" t="n"/>
      <c r="H51" s="11" t="n"/>
      <c r="I51" s="34" t="n"/>
      <c r="J51" s="11" t="n"/>
      <c r="K51" s="11" t="n"/>
    </row>
    <row r="52" ht="18" customHeight="1" s="42">
      <c r="A52" s="19" t="n"/>
      <c r="B52" s="19" t="n"/>
      <c r="C52" s="19" t="n"/>
      <c r="D52" s="19" t="n"/>
      <c r="E52" s="19" t="n"/>
      <c r="F52" s="19" t="n"/>
      <c r="G52" s="19" t="n"/>
      <c r="H52" s="19" t="n"/>
      <c r="I52" s="33" t="n"/>
      <c r="J52" s="19" t="n"/>
      <c r="K52" s="19" t="n"/>
    </row>
    <row r="53" ht="18" customHeight="1" s="42">
      <c r="A53" s="11" t="n"/>
      <c r="B53" s="11" t="n"/>
      <c r="C53" s="11" t="n"/>
      <c r="D53" s="11" t="n"/>
      <c r="E53" s="11" t="n"/>
      <c r="F53" s="11" t="n"/>
      <c r="G53" s="11" t="n"/>
      <c r="H53" s="11" t="n"/>
      <c r="I53" s="34" t="n"/>
      <c r="J53" s="11" t="n"/>
      <c r="K53" s="11" t="n"/>
    </row>
    <row r="54" ht="18" customHeight="1" s="42">
      <c r="A54" s="19" t="n"/>
      <c r="B54" s="19" t="n"/>
      <c r="C54" s="19" t="n"/>
      <c r="D54" s="19" t="n"/>
      <c r="E54" s="19" t="n"/>
      <c r="F54" s="19" t="n"/>
      <c r="G54" s="19" t="n"/>
      <c r="H54" s="19" t="n"/>
      <c r="I54" s="33" t="n"/>
      <c r="J54" s="19" t="n"/>
      <c r="K54" s="19" t="n"/>
    </row>
    <row r="55" ht="18" customHeight="1" s="42">
      <c r="A55" s="11" t="n"/>
      <c r="B55" s="11" t="n"/>
      <c r="C55" s="11" t="n"/>
      <c r="D55" s="11" t="n"/>
      <c r="E55" s="11" t="n"/>
      <c r="F55" s="11" t="n"/>
      <c r="G55" s="11" t="n"/>
      <c r="H55" s="11" t="n"/>
      <c r="I55" s="34" t="n"/>
      <c r="J55" s="11" t="n"/>
      <c r="K55" s="11" t="n"/>
    </row>
    <row r="56" ht="18" customHeight="1" s="42">
      <c r="A56" s="19" t="n"/>
      <c r="B56" s="19" t="n"/>
      <c r="C56" s="19" t="n"/>
      <c r="D56" s="19" t="n"/>
      <c r="E56" s="19" t="n"/>
      <c r="F56" s="19" t="n"/>
      <c r="G56" s="19" t="n"/>
      <c r="H56" s="19" t="n"/>
      <c r="I56" s="33" t="n"/>
      <c r="J56" s="19" t="n"/>
      <c r="K56" s="19" t="n"/>
    </row>
    <row r="57" ht="18" customHeight="1" s="42">
      <c r="A57" s="11" t="n"/>
      <c r="B57" s="11" t="n"/>
      <c r="C57" s="11" t="n"/>
      <c r="D57" s="11" t="n"/>
      <c r="E57" s="11" t="n"/>
      <c r="F57" s="11" t="n"/>
      <c r="G57" s="11" t="n"/>
      <c r="H57" s="11" t="n"/>
      <c r="I57" s="34" t="n"/>
      <c r="J57" s="11" t="n"/>
      <c r="K57" s="11" t="n"/>
    </row>
    <row r="58" ht="18" customHeight="1" s="42">
      <c r="A58" s="19" t="n"/>
      <c r="B58" s="19" t="n"/>
      <c r="C58" s="19" t="n"/>
      <c r="D58" s="19" t="n"/>
      <c r="E58" s="19" t="n"/>
      <c r="F58" s="19" t="n"/>
      <c r="G58" s="19" t="n"/>
      <c r="H58" s="19" t="n"/>
      <c r="I58" s="33" t="n"/>
      <c r="J58" s="19" t="n"/>
      <c r="K58" s="19" t="n"/>
    </row>
    <row r="59" ht="18" customHeight="1" s="42">
      <c r="A59" s="11" t="n"/>
      <c r="B59" s="11" t="n"/>
      <c r="C59" s="11" t="n"/>
      <c r="D59" s="11" t="n"/>
      <c r="E59" s="11" t="n"/>
      <c r="F59" s="11" t="n"/>
      <c r="G59" s="11" t="n"/>
      <c r="H59" s="11" t="n"/>
      <c r="I59" s="34" t="n"/>
      <c r="J59" s="11" t="n"/>
      <c r="K59" s="11" t="n"/>
    </row>
    <row r="60" ht="18" customHeight="1" s="42">
      <c r="A60" s="19" t="n"/>
      <c r="B60" s="19" t="n"/>
      <c r="C60" s="19" t="n"/>
      <c r="D60" s="19" t="n"/>
      <c r="E60" s="19" t="n"/>
      <c r="F60" s="19" t="n"/>
      <c r="G60" s="19" t="n"/>
      <c r="H60" s="19" t="n"/>
      <c r="I60" s="33" t="n"/>
      <c r="J60" s="19" t="n"/>
      <c r="K60" s="19" t="n"/>
    </row>
    <row r="61" ht="18" customHeight="1" s="42">
      <c r="A61" s="11" t="n"/>
      <c r="B61" s="11" t="n"/>
      <c r="C61" s="11" t="n"/>
      <c r="D61" s="11" t="n"/>
      <c r="E61" s="11" t="n"/>
      <c r="F61" s="11" t="n"/>
      <c r="G61" s="11" t="n"/>
      <c r="H61" s="11" t="n"/>
      <c r="I61" s="34" t="n"/>
      <c r="J61" s="11" t="n"/>
      <c r="K61" s="11" t="n"/>
    </row>
    <row r="62" ht="18" customHeight="1" s="42">
      <c r="A62" s="19" t="n"/>
      <c r="B62" s="19" t="n"/>
      <c r="C62" s="19" t="n"/>
      <c r="D62" s="19" t="n"/>
      <c r="E62" s="19" t="n"/>
      <c r="F62" s="19" t="n"/>
      <c r="G62" s="19" t="n"/>
      <c r="H62" s="19" t="n"/>
      <c r="I62" s="33" t="n"/>
      <c r="J62" s="19" t="n"/>
      <c r="K62" s="19" t="n"/>
    </row>
    <row r="63" ht="18" customHeight="1" s="42">
      <c r="A63" s="11" t="n"/>
      <c r="B63" s="11" t="n"/>
      <c r="C63" s="11" t="n"/>
      <c r="D63" s="11" t="n"/>
      <c r="E63" s="11" t="n"/>
      <c r="F63" s="11" t="n"/>
      <c r="G63" s="11" t="n"/>
      <c r="H63" s="11" t="n"/>
      <c r="I63" s="34" t="n"/>
      <c r="J63" s="11" t="n"/>
      <c r="K63" s="11" t="n"/>
    </row>
    <row r="64" ht="18" customHeight="1" s="42">
      <c r="A64" s="19" t="n"/>
      <c r="B64" s="19" t="n"/>
      <c r="C64" s="19" t="n"/>
      <c r="D64" s="19" t="n"/>
      <c r="E64" s="19" t="n"/>
      <c r="F64" s="19" t="n"/>
      <c r="G64" s="19" t="n"/>
      <c r="H64" s="19" t="n"/>
      <c r="I64" s="33" t="n"/>
      <c r="J64" s="19" t="n"/>
      <c r="K64" s="19" t="n"/>
    </row>
    <row r="65" ht="18" customHeight="1" s="42">
      <c r="A65" s="11" t="n"/>
      <c r="B65" s="11" t="n"/>
      <c r="C65" s="11" t="n"/>
      <c r="D65" s="11" t="n"/>
      <c r="E65" s="11" t="n"/>
      <c r="F65" s="11" t="n"/>
      <c r="G65" s="11" t="n"/>
      <c r="H65" s="11" t="n"/>
      <c r="I65" s="34" t="n"/>
      <c r="J65" s="11" t="n"/>
      <c r="K65" s="11" t="n"/>
    </row>
    <row r="66" ht="18" customHeight="1" s="42">
      <c r="A66" s="19" t="n"/>
      <c r="B66" s="19" t="n"/>
      <c r="C66" s="19" t="n"/>
      <c r="D66" s="19" t="n"/>
      <c r="E66" s="19" t="n"/>
      <c r="F66" s="19" t="n"/>
      <c r="G66" s="19" t="n"/>
      <c r="H66" s="19" t="n"/>
      <c r="I66" s="33" t="n"/>
      <c r="J66" s="19" t="n"/>
      <c r="K66" s="19" t="n"/>
    </row>
    <row r="67" ht="18" customHeight="1" s="42">
      <c r="A67" s="11" t="n"/>
      <c r="B67" s="11" t="n"/>
      <c r="C67" s="11" t="n"/>
      <c r="D67" s="11" t="n"/>
      <c r="E67" s="11" t="n"/>
      <c r="F67" s="11" t="n"/>
      <c r="G67" s="11" t="n"/>
      <c r="H67" s="11" t="n"/>
      <c r="I67" s="34" t="n"/>
      <c r="J67" s="11" t="n"/>
      <c r="K67" s="11" t="n"/>
    </row>
    <row r="68" ht="18" customHeight="1" s="42">
      <c r="A68" s="19" t="n"/>
      <c r="B68" s="19" t="n"/>
      <c r="C68" s="19" t="n"/>
      <c r="D68" s="19" t="n"/>
      <c r="E68" s="19" t="n"/>
      <c r="F68" s="19" t="n"/>
      <c r="G68" s="19" t="n"/>
      <c r="H68" s="19" t="n"/>
      <c r="I68" s="33" t="n"/>
      <c r="J68" s="19" t="n"/>
      <c r="K68" s="19" t="n"/>
    </row>
    <row r="69" ht="18" customHeight="1" s="42">
      <c r="A69" s="11" t="n"/>
      <c r="B69" s="11" t="n"/>
      <c r="C69" s="11" t="n"/>
      <c r="D69" s="11" t="n"/>
      <c r="E69" s="11" t="n"/>
      <c r="F69" s="11" t="n"/>
      <c r="G69" s="11" t="n"/>
      <c r="H69" s="11" t="n"/>
      <c r="I69" s="34" t="n"/>
      <c r="J69" s="11" t="n"/>
      <c r="K69" s="11" t="n"/>
    </row>
    <row r="70" ht="18" customHeight="1" s="42">
      <c r="A70" s="19" t="n"/>
      <c r="B70" s="19" t="n"/>
      <c r="C70" s="19" t="n"/>
      <c r="D70" s="19" t="n"/>
      <c r="E70" s="19" t="n"/>
      <c r="F70" s="19" t="n"/>
      <c r="G70" s="19" t="n"/>
      <c r="H70" s="19" t="n"/>
      <c r="I70" s="33" t="n"/>
      <c r="J70" s="19" t="n"/>
      <c r="K70" s="19" t="n"/>
    </row>
    <row r="71" ht="18" customHeight="1" s="42">
      <c r="A71" s="11" t="n"/>
      <c r="B71" s="11" t="n"/>
      <c r="C71" s="11" t="n"/>
      <c r="D71" s="11" t="n"/>
      <c r="E71" s="11" t="n"/>
      <c r="F71" s="11" t="n"/>
      <c r="G71" s="11" t="n"/>
      <c r="H71" s="11" t="n"/>
      <c r="I71" s="34" t="n"/>
      <c r="J71" s="11" t="n"/>
      <c r="K71" s="11" t="n"/>
    </row>
    <row r="72" ht="18" customHeight="1" s="42">
      <c r="A72" s="19" t="n"/>
      <c r="B72" s="19" t="n"/>
      <c r="C72" s="19" t="n"/>
      <c r="D72" s="19" t="n"/>
      <c r="E72" s="19" t="n"/>
      <c r="F72" s="19" t="n"/>
      <c r="G72" s="19" t="n"/>
      <c r="H72" s="19" t="n"/>
      <c r="I72" s="33" t="n"/>
      <c r="J72" s="19" t="n"/>
      <c r="K72" s="19" t="n"/>
    </row>
    <row r="73" ht="18" customHeight="1" s="42">
      <c r="A73" s="11" t="n"/>
      <c r="B73" s="11" t="n"/>
      <c r="C73" s="11" t="n"/>
      <c r="D73" s="11" t="n"/>
      <c r="E73" s="11" t="n"/>
      <c r="F73" s="11" t="n"/>
      <c r="G73" s="11" t="n"/>
      <c r="H73" s="11" t="n"/>
      <c r="I73" s="34" t="n"/>
      <c r="J73" s="11" t="n"/>
      <c r="K73" s="11" t="n"/>
    </row>
    <row r="74" ht="18" customHeight="1" s="42">
      <c r="A74" s="19" t="n"/>
      <c r="B74" s="19" t="n"/>
      <c r="C74" s="19" t="n"/>
      <c r="D74" s="19" t="n"/>
      <c r="E74" s="19" t="n"/>
      <c r="F74" s="19" t="n"/>
      <c r="G74" s="19" t="n"/>
      <c r="H74" s="19" t="n"/>
      <c r="I74" s="33" t="n"/>
      <c r="J74" s="19" t="n"/>
      <c r="K74" s="19" t="n"/>
    </row>
    <row r="75" ht="18" customHeight="1" s="42">
      <c r="A75" s="11" t="n"/>
      <c r="B75" s="11" t="n"/>
      <c r="C75" s="11" t="n"/>
      <c r="D75" s="11" t="n"/>
      <c r="E75" s="11" t="n"/>
      <c r="F75" s="11" t="n"/>
      <c r="G75" s="11" t="n"/>
      <c r="H75" s="11" t="n"/>
      <c r="I75" s="34" t="n"/>
      <c r="J75" s="11" t="n"/>
      <c r="K75" s="11" t="n"/>
    </row>
    <row r="76" ht="18" customHeight="1" s="42">
      <c r="A76" s="19" t="n"/>
      <c r="B76" s="19" t="n"/>
      <c r="C76" s="19" t="n"/>
      <c r="D76" s="19" t="n"/>
      <c r="E76" s="19" t="n"/>
      <c r="F76" s="19" t="n"/>
      <c r="G76" s="19" t="n"/>
      <c r="H76" s="19" t="n"/>
      <c r="I76" s="33" t="n"/>
      <c r="J76" s="19" t="n"/>
      <c r="K76" s="19" t="n"/>
    </row>
    <row r="77" ht="18" customHeight="1" s="42">
      <c r="A77" s="11" t="n"/>
      <c r="B77" s="11" t="n"/>
      <c r="C77" s="11" t="n"/>
      <c r="D77" s="11" t="n"/>
      <c r="E77" s="11" t="n"/>
      <c r="F77" s="11" t="n"/>
      <c r="G77" s="11" t="n"/>
      <c r="H77" s="11" t="n"/>
      <c r="I77" s="34" t="n"/>
      <c r="J77" s="11" t="n"/>
      <c r="K77" s="11" t="n"/>
    </row>
    <row r="78" ht="18" customHeight="1" s="42">
      <c r="A78" s="19" t="n"/>
      <c r="B78" s="19" t="n"/>
      <c r="C78" s="19" t="n"/>
      <c r="D78" s="19" t="n"/>
      <c r="E78" s="19" t="n"/>
      <c r="F78" s="19" t="n"/>
      <c r="G78" s="19" t="n"/>
      <c r="H78" s="19" t="n"/>
      <c r="I78" s="33" t="n"/>
      <c r="J78" s="19" t="n"/>
      <c r="K78" s="19" t="n"/>
    </row>
    <row r="79" ht="18" customHeight="1" s="42">
      <c r="A79" s="11" t="n"/>
      <c r="B79" s="11" t="n"/>
      <c r="C79" s="11" t="n"/>
      <c r="D79" s="11" t="n"/>
      <c r="E79" s="11" t="n"/>
      <c r="F79" s="11" t="n"/>
      <c r="G79" s="11" t="n"/>
      <c r="H79" s="11" t="n"/>
      <c r="I79" s="34" t="n"/>
      <c r="J79" s="11" t="n"/>
      <c r="K79" s="11" t="n"/>
    </row>
    <row r="80" ht="18" customHeight="1" s="42">
      <c r="A80" s="19" t="n"/>
      <c r="B80" s="19" t="n"/>
      <c r="C80" s="19" t="n"/>
      <c r="D80" s="19" t="n"/>
      <c r="E80" s="19" t="n"/>
      <c r="F80" s="19" t="n"/>
      <c r="G80" s="19" t="n"/>
      <c r="H80" s="19" t="n"/>
      <c r="I80" s="33" t="n"/>
      <c r="J80" s="19" t="n"/>
      <c r="K80" s="19" t="n"/>
    </row>
    <row r="81" ht="18" customHeight="1" s="42">
      <c r="A81" s="11" t="n"/>
      <c r="B81" s="11" t="n"/>
      <c r="C81" s="11" t="n"/>
      <c r="D81" s="11" t="n"/>
      <c r="E81" s="11" t="n"/>
      <c r="F81" s="11" t="n"/>
      <c r="G81" s="11" t="n"/>
      <c r="H81" s="11" t="n"/>
      <c r="I81" s="34" t="n"/>
      <c r="J81" s="11" t="n"/>
      <c r="K81" s="11" t="n"/>
    </row>
    <row r="82" ht="18" customHeight="1" s="42">
      <c r="A82" s="19" t="n"/>
      <c r="B82" s="19" t="n"/>
      <c r="C82" s="19" t="n"/>
      <c r="D82" s="19" t="n"/>
      <c r="E82" s="19" t="n"/>
      <c r="F82" s="19" t="n"/>
      <c r="G82" s="19" t="n"/>
      <c r="H82" s="19" t="n"/>
      <c r="I82" s="33" t="n"/>
      <c r="J82" s="19" t="n"/>
      <c r="K82" s="19" t="n"/>
    </row>
    <row r="83" ht="18" customHeight="1" s="42">
      <c r="A83" s="11" t="n"/>
      <c r="B83" s="11" t="n"/>
      <c r="C83" s="11" t="n"/>
      <c r="D83" s="11" t="n"/>
      <c r="E83" s="11" t="n"/>
      <c r="F83" s="11" t="n"/>
      <c r="G83" s="11" t="n"/>
      <c r="H83" s="11" t="n"/>
      <c r="I83" s="34" t="n"/>
      <c r="J83" s="11" t="n"/>
      <c r="K83" s="11" t="n"/>
    </row>
    <row r="84" ht="18" customHeight="1" s="42">
      <c r="A84" s="19" t="n"/>
      <c r="B84" s="19" t="n"/>
      <c r="C84" s="19" t="n"/>
      <c r="D84" s="19" t="n"/>
      <c r="E84" s="19" t="n"/>
      <c r="F84" s="19" t="n"/>
      <c r="G84" s="19" t="n"/>
      <c r="H84" s="19" t="n"/>
      <c r="I84" s="33" t="n"/>
      <c r="J84" s="19" t="n"/>
      <c r="K84" s="19" t="n"/>
    </row>
    <row r="85" ht="18" customHeight="1" s="42">
      <c r="A85" s="11" t="n"/>
      <c r="B85" s="11" t="n"/>
      <c r="C85" s="11" t="n"/>
      <c r="D85" s="11" t="n"/>
      <c r="E85" s="11" t="n"/>
      <c r="F85" s="11" t="n"/>
      <c r="G85" s="11" t="n"/>
      <c r="H85" s="11" t="n"/>
      <c r="I85" s="34" t="n"/>
      <c r="J85" s="11" t="n"/>
      <c r="K85" s="11" t="n"/>
    </row>
    <row r="86" ht="18" customHeight="1" s="42">
      <c r="A86" s="19" t="n"/>
      <c r="B86" s="19" t="n"/>
      <c r="C86" s="19" t="n"/>
      <c r="D86" s="19" t="n"/>
      <c r="E86" s="19" t="n"/>
      <c r="F86" s="19" t="n"/>
      <c r="G86" s="19" t="n"/>
      <c r="H86" s="19" t="n"/>
      <c r="I86" s="33" t="n"/>
      <c r="J86" s="19" t="n"/>
      <c r="K86" s="19" t="n"/>
    </row>
    <row r="87" ht="18" customHeight="1" s="42">
      <c r="A87" s="11" t="n"/>
      <c r="B87" s="11" t="n"/>
      <c r="C87" s="11" t="n"/>
      <c r="D87" s="11" t="n"/>
      <c r="E87" s="11" t="n"/>
      <c r="F87" s="11" t="n"/>
      <c r="G87" s="11" t="n"/>
      <c r="H87" s="11" t="n"/>
      <c r="I87" s="34" t="n"/>
      <c r="J87" s="11" t="n"/>
      <c r="K87" s="11" t="n"/>
    </row>
    <row r="88" ht="18" customHeight="1" s="42">
      <c r="A88" s="19" t="n"/>
      <c r="B88" s="19" t="n"/>
      <c r="C88" s="19" t="n"/>
      <c r="D88" s="19" t="n"/>
      <c r="E88" s="19" t="n"/>
      <c r="F88" s="19" t="n"/>
      <c r="G88" s="19" t="n"/>
      <c r="H88" s="19" t="n"/>
      <c r="I88" s="33" t="n"/>
      <c r="J88" s="19" t="n"/>
      <c r="K88" s="19" t="n"/>
    </row>
    <row r="89" ht="18" customHeight="1" s="42">
      <c r="A89" s="11" t="n"/>
      <c r="B89" s="11" t="n"/>
      <c r="C89" s="11" t="n"/>
      <c r="D89" s="11" t="n"/>
      <c r="E89" s="11" t="n"/>
      <c r="F89" s="11" t="n"/>
      <c r="G89" s="11" t="n"/>
      <c r="H89" s="11" t="n"/>
      <c r="I89" s="34" t="n"/>
      <c r="J89" s="11" t="n"/>
      <c r="K89" s="11" t="n"/>
    </row>
    <row r="90" ht="18" customHeight="1" s="42">
      <c r="A90" s="19" t="n"/>
      <c r="B90" s="19" t="n"/>
      <c r="C90" s="19" t="n"/>
      <c r="D90" s="19" t="n"/>
      <c r="E90" s="19" t="n"/>
      <c r="F90" s="19" t="n"/>
      <c r="G90" s="19" t="n"/>
      <c r="H90" s="19" t="n"/>
      <c r="I90" s="33" t="n"/>
      <c r="J90" s="19" t="n"/>
      <c r="K90" s="19" t="n"/>
    </row>
    <row r="91" ht="18" customHeight="1" s="42">
      <c r="A91" s="11" t="n"/>
      <c r="B91" s="11" t="n"/>
      <c r="C91" s="11" t="n"/>
      <c r="D91" s="11" t="n"/>
      <c r="E91" s="11" t="n"/>
      <c r="F91" s="11" t="n"/>
      <c r="G91" s="11" t="n"/>
      <c r="H91" s="11" t="n"/>
      <c r="I91" s="34" t="n"/>
      <c r="J91" s="11" t="n"/>
      <c r="K91" s="11" t="n"/>
    </row>
    <row r="92" ht="18" customHeight="1" s="42">
      <c r="A92" s="19" t="n"/>
      <c r="B92" s="19" t="n"/>
      <c r="C92" s="19" t="n"/>
      <c r="D92" s="19" t="n"/>
      <c r="E92" s="19" t="n"/>
      <c r="F92" s="19" t="n"/>
      <c r="G92" s="19" t="n"/>
      <c r="H92" s="19" t="n"/>
      <c r="I92" s="33" t="n"/>
      <c r="J92" s="19" t="n"/>
      <c r="K92" s="19" t="n"/>
    </row>
    <row r="93" ht="18" customHeight="1" s="42">
      <c r="A93" s="11" t="n"/>
      <c r="B93" s="11" t="n"/>
      <c r="C93" s="11" t="n"/>
      <c r="D93" s="11" t="n"/>
      <c r="E93" s="11" t="n"/>
      <c r="F93" s="11" t="n"/>
      <c r="G93" s="11" t="n"/>
      <c r="H93" s="11" t="n"/>
      <c r="I93" s="34" t="n"/>
      <c r="J93" s="11" t="n"/>
      <c r="K93" s="11" t="n"/>
    </row>
    <row r="94" ht="18" customHeight="1" s="42">
      <c r="A94" s="19" t="n"/>
      <c r="B94" s="19" t="n"/>
      <c r="C94" s="19" t="n"/>
      <c r="D94" s="19" t="n"/>
      <c r="E94" s="19" t="n"/>
      <c r="F94" s="19" t="n"/>
      <c r="G94" s="19" t="n"/>
      <c r="H94" s="19" t="n"/>
      <c r="I94" s="33" t="n"/>
      <c r="J94" s="19" t="n"/>
      <c r="K94" s="19" t="n"/>
    </row>
    <row r="95" ht="18" customHeight="1" s="42">
      <c r="A95" s="11" t="n"/>
      <c r="B95" s="11" t="n"/>
      <c r="C95" s="11" t="n"/>
      <c r="D95" s="11" t="n"/>
      <c r="E95" s="11" t="n"/>
      <c r="F95" s="11" t="n"/>
      <c r="G95" s="11" t="n"/>
      <c r="H95" s="11" t="n"/>
      <c r="I95" s="34" t="n"/>
      <c r="J95" s="11" t="n"/>
      <c r="K95" s="11" t="n"/>
    </row>
    <row r="96" ht="18" customHeight="1" s="42">
      <c r="A96" s="19" t="n"/>
      <c r="B96" s="19" t="n"/>
      <c r="C96" s="19" t="n"/>
      <c r="D96" s="19" t="n"/>
      <c r="E96" s="19" t="n"/>
      <c r="F96" s="19" t="n"/>
      <c r="G96" s="19" t="n"/>
      <c r="H96" s="19" t="n"/>
      <c r="I96" s="33" t="n"/>
      <c r="J96" s="19" t="n"/>
      <c r="K96" s="19" t="n"/>
    </row>
    <row r="97" ht="18" customHeight="1" s="42">
      <c r="A97" s="11" t="n"/>
      <c r="B97" s="11" t="n"/>
      <c r="C97" s="11" t="n"/>
      <c r="D97" s="11" t="n"/>
      <c r="E97" s="11" t="n"/>
      <c r="F97" s="11" t="n"/>
      <c r="G97" s="11" t="n"/>
      <c r="H97" s="11" t="n"/>
      <c r="I97" s="34" t="n"/>
      <c r="J97" s="11" t="n"/>
      <c r="K97" s="11" t="n"/>
    </row>
    <row r="98" ht="18" customHeight="1" s="42">
      <c r="A98" s="19" t="n"/>
      <c r="B98" s="19" t="n"/>
      <c r="C98" s="19" t="n"/>
      <c r="D98" s="19" t="n"/>
      <c r="E98" s="19" t="n"/>
      <c r="F98" s="19" t="n"/>
      <c r="G98" s="19" t="n"/>
      <c r="H98" s="19" t="n"/>
      <c r="I98" s="33" t="n"/>
      <c r="J98" s="19" t="n"/>
      <c r="K98" s="19" t="n"/>
    </row>
    <row r="99" ht="18" customHeight="1" s="42">
      <c r="A99" s="11" t="n"/>
      <c r="B99" s="11" t="n"/>
      <c r="C99" s="11" t="n"/>
      <c r="D99" s="11" t="n"/>
      <c r="E99" s="11" t="n"/>
      <c r="F99" s="11" t="n"/>
      <c r="G99" s="11" t="n"/>
      <c r="H99" s="11" t="n"/>
      <c r="I99" s="34" t="n"/>
      <c r="J99" s="11" t="n"/>
      <c r="K99" s="11" t="n"/>
    </row>
    <row r="100" ht="18" customHeight="1" s="42">
      <c r="A100" s="19" t="n"/>
      <c r="B100" s="19" t="n"/>
      <c r="C100" s="19" t="n"/>
      <c r="D100" s="19" t="n"/>
      <c r="E100" s="19" t="n"/>
      <c r="F100" s="19" t="n"/>
      <c r="G100" s="19" t="n"/>
      <c r="H100" s="19" t="n"/>
      <c r="I100" s="33" t="n"/>
      <c r="J100" s="19" t="n"/>
      <c r="K100" s="19" t="n"/>
    </row>
    <row r="101" ht="18" customHeight="1" s="42">
      <c r="A101" s="11" t="n"/>
      <c r="B101" s="11" t="n"/>
      <c r="C101" s="11" t="n"/>
      <c r="D101" s="11" t="n"/>
      <c r="E101" s="11" t="n"/>
      <c r="F101" s="11" t="n"/>
      <c r="G101" s="11" t="n"/>
      <c r="H101" s="11" t="n"/>
      <c r="I101" s="34" t="n"/>
      <c r="J101" s="11" t="n"/>
      <c r="K101" s="11" t="n"/>
    </row>
    <row r="102" ht="18" customHeight="1" s="42">
      <c r="A102" s="19" t="n"/>
      <c r="B102" s="19" t="n"/>
      <c r="C102" s="19" t="n"/>
      <c r="D102" s="19" t="n"/>
      <c r="E102" s="19" t="n"/>
      <c r="F102" s="19" t="n"/>
      <c r="G102" s="19" t="n"/>
      <c r="H102" s="19" t="n"/>
      <c r="I102" s="33" t="n"/>
      <c r="J102" s="19" t="n"/>
      <c r="K102" s="19" t="n"/>
    </row>
    <row r="103" ht="18" customHeight="1" s="42">
      <c r="A103" s="11" t="n"/>
      <c r="B103" s="11" t="n"/>
      <c r="C103" s="11" t="n"/>
      <c r="D103" s="11" t="n"/>
      <c r="E103" s="11" t="n"/>
      <c r="F103" s="11" t="n"/>
      <c r="G103" s="11" t="n"/>
      <c r="H103" s="11" t="n"/>
      <c r="I103" s="34" t="n"/>
      <c r="J103" s="11" t="n"/>
      <c r="K103" s="11" t="n"/>
    </row>
    <row r="104" ht="18" customHeight="1" s="42">
      <c r="A104" s="19" t="n"/>
      <c r="B104" s="19" t="n"/>
      <c r="C104" s="19" t="n"/>
      <c r="D104" s="19" t="n"/>
      <c r="E104" s="19" t="n"/>
      <c r="F104" s="19" t="n"/>
      <c r="G104" s="19" t="n"/>
      <c r="H104" s="19" t="n"/>
      <c r="I104" s="33" t="n"/>
      <c r="J104" s="19" t="n"/>
      <c r="K104" s="19" t="n"/>
    </row>
    <row r="105" ht="18" customHeight="1" s="42">
      <c r="A105" s="11" t="n"/>
      <c r="B105" s="11" t="n"/>
      <c r="C105" s="11" t="n"/>
      <c r="D105" s="11" t="n"/>
      <c r="E105" s="11" t="n"/>
      <c r="F105" s="11" t="n"/>
      <c r="G105" s="11" t="n"/>
      <c r="H105" s="11" t="n"/>
      <c r="I105" s="34" t="n"/>
      <c r="J105" s="11" t="n"/>
      <c r="K105" s="11" t="n"/>
    </row>
    <row r="106" ht="18" customHeight="1" s="42">
      <c r="A106" s="19" t="n"/>
      <c r="B106" s="19" t="n"/>
      <c r="C106" s="19" t="n"/>
      <c r="D106" s="19" t="n"/>
      <c r="E106" s="19" t="n"/>
      <c r="F106" s="19" t="n"/>
      <c r="G106" s="19" t="n"/>
      <c r="H106" s="19" t="n"/>
      <c r="I106" s="33" t="n"/>
      <c r="J106" s="19" t="n"/>
      <c r="K106" s="19" t="n"/>
    </row>
    <row r="107" ht="18" customHeight="1" s="42">
      <c r="A107" s="11" t="n"/>
      <c r="B107" s="11" t="n"/>
      <c r="C107" s="11" t="n"/>
      <c r="D107" s="11" t="n"/>
      <c r="E107" s="11" t="n"/>
      <c r="F107" s="11" t="n"/>
      <c r="G107" s="11" t="n"/>
      <c r="H107" s="11" t="n"/>
      <c r="I107" s="34" t="n"/>
      <c r="J107" s="11" t="n"/>
      <c r="K107" s="11" t="n"/>
    </row>
    <row r="108" ht="18" customHeight="1" s="42">
      <c r="A108" s="19" t="n"/>
      <c r="B108" s="19" t="n"/>
      <c r="C108" s="19" t="n"/>
      <c r="D108" s="19" t="n"/>
      <c r="E108" s="19" t="n"/>
      <c r="F108" s="19" t="n"/>
      <c r="G108" s="19" t="n"/>
      <c r="H108" s="19" t="n"/>
      <c r="I108" s="33" t="n"/>
      <c r="J108" s="19" t="n"/>
      <c r="K108" s="19" t="n"/>
    </row>
    <row r="109" ht="18" customHeight="1" s="42">
      <c r="A109" s="11" t="n"/>
      <c r="B109" s="11" t="n"/>
      <c r="C109" s="11" t="n"/>
      <c r="D109" s="11" t="n"/>
      <c r="E109" s="11" t="n"/>
      <c r="F109" s="11" t="n"/>
      <c r="G109" s="11" t="n"/>
      <c r="H109" s="11" t="n"/>
      <c r="I109" s="34" t="n"/>
      <c r="J109" s="11" t="n"/>
      <c r="K109" s="11" t="n"/>
    </row>
    <row r="110" ht="18" customHeight="1" s="42">
      <c r="A110" s="19" t="n"/>
      <c r="B110" s="19" t="n"/>
      <c r="C110" s="19" t="n"/>
      <c r="D110" s="19" t="n"/>
      <c r="E110" s="19" t="n"/>
      <c r="F110" s="19" t="n"/>
      <c r="G110" s="19" t="n"/>
      <c r="H110" s="19" t="n"/>
      <c r="I110" s="33" t="n"/>
      <c r="J110" s="19" t="n"/>
      <c r="K110" s="19" t="n"/>
    </row>
    <row r="111" ht="18" customHeight="1" s="42">
      <c r="A111" s="11" t="n"/>
      <c r="B111" s="11" t="n"/>
      <c r="C111" s="11" t="n"/>
      <c r="D111" s="11" t="n"/>
      <c r="E111" s="11" t="n"/>
      <c r="F111" s="11" t="n"/>
      <c r="G111" s="11" t="n"/>
      <c r="H111" s="11" t="n"/>
      <c r="I111" s="34" t="n"/>
      <c r="J111" s="11" t="n"/>
      <c r="K111" s="11" t="n"/>
    </row>
    <row r="112" ht="18" customHeight="1" s="42">
      <c r="A112" s="19" t="n"/>
      <c r="B112" s="19" t="n"/>
      <c r="C112" s="19" t="n"/>
      <c r="D112" s="19" t="n"/>
      <c r="E112" s="19" t="n"/>
      <c r="F112" s="19" t="n"/>
      <c r="G112" s="19" t="n"/>
      <c r="H112" s="19" t="n"/>
      <c r="I112" s="33" t="n"/>
      <c r="J112" s="19" t="n"/>
      <c r="K112" s="19" t="n"/>
    </row>
    <row r="113" ht="18" customHeight="1" s="42">
      <c r="A113" s="11" t="n"/>
      <c r="B113" s="11" t="n"/>
      <c r="C113" s="11" t="n"/>
      <c r="D113" s="11" t="n"/>
      <c r="E113" s="11" t="n"/>
      <c r="F113" s="11" t="n"/>
      <c r="G113" s="11" t="n"/>
      <c r="H113" s="11" t="n"/>
      <c r="I113" s="34" t="n"/>
      <c r="J113" s="11" t="n"/>
      <c r="K113" s="11" t="n"/>
    </row>
    <row r="114" ht="18" customHeight="1" s="42">
      <c r="A114" s="19" t="n"/>
      <c r="B114" s="19" t="n"/>
      <c r="C114" s="19" t="n"/>
      <c r="D114" s="19" t="n"/>
      <c r="E114" s="19" t="n"/>
      <c r="F114" s="19" t="n"/>
      <c r="G114" s="19" t="n"/>
      <c r="H114" s="19" t="n"/>
      <c r="I114" s="33" t="n"/>
      <c r="J114" s="19" t="n"/>
      <c r="K114" s="19" t="n"/>
    </row>
    <row r="115" ht="18" customHeight="1" s="42">
      <c r="A115" s="11" t="n"/>
      <c r="B115" s="11" t="n"/>
      <c r="C115" s="11" t="n"/>
      <c r="D115" s="11" t="n"/>
      <c r="E115" s="11" t="n"/>
      <c r="F115" s="11" t="n"/>
      <c r="G115" s="11" t="n"/>
      <c r="H115" s="11" t="n"/>
      <c r="I115" s="34" t="n"/>
      <c r="J115" s="11" t="n"/>
      <c r="K115" s="11" t="n"/>
    </row>
    <row r="116" ht="18" customHeight="1" s="42">
      <c r="A116" s="19" t="n"/>
      <c r="B116" s="19" t="n"/>
      <c r="C116" s="19" t="n"/>
      <c r="D116" s="19" t="n"/>
      <c r="E116" s="19" t="n"/>
      <c r="F116" s="19" t="n"/>
      <c r="G116" s="19" t="n"/>
      <c r="H116" s="19" t="n"/>
      <c r="I116" s="33" t="n"/>
      <c r="J116" s="19" t="n"/>
      <c r="K116" s="19" t="n"/>
    </row>
    <row r="117" ht="18" customHeight="1" s="42">
      <c r="A117" s="11" t="n"/>
      <c r="B117" s="11" t="n"/>
      <c r="C117" s="11" t="n"/>
      <c r="D117" s="11" t="n"/>
      <c r="E117" s="11" t="n"/>
      <c r="F117" s="11" t="n"/>
      <c r="G117" s="11" t="n"/>
      <c r="H117" s="11" t="n"/>
      <c r="I117" s="34" t="n"/>
      <c r="J117" s="11" t="n"/>
      <c r="K117" s="11" t="n"/>
    </row>
    <row r="118" ht="18" customHeight="1" s="42">
      <c r="A118" s="19" t="n"/>
      <c r="B118" s="19" t="n"/>
      <c r="C118" s="19" t="n"/>
      <c r="D118" s="19" t="n"/>
      <c r="E118" s="19" t="n"/>
      <c r="F118" s="19" t="n"/>
      <c r="G118" s="19" t="n"/>
      <c r="H118" s="19" t="n"/>
      <c r="I118" s="33" t="n"/>
      <c r="J118" s="19" t="n"/>
      <c r="K118" s="19" t="n"/>
    </row>
    <row r="119" ht="18" customHeight="1" s="42">
      <c r="A119" s="11" t="n"/>
      <c r="B119" s="11" t="n"/>
      <c r="C119" s="11" t="n"/>
      <c r="D119" s="11" t="n"/>
      <c r="E119" s="11" t="n"/>
      <c r="F119" s="11" t="n"/>
      <c r="G119" s="11" t="n"/>
      <c r="H119" s="11" t="n"/>
      <c r="I119" s="34" t="n"/>
      <c r="J119" s="11" t="n"/>
      <c r="K119" s="11" t="n"/>
    </row>
    <row r="120" ht="18" customHeight="1" s="42">
      <c r="A120" s="19" t="n"/>
      <c r="B120" s="19" t="n"/>
      <c r="C120" s="19" t="n"/>
      <c r="D120" s="19" t="n"/>
      <c r="E120" s="19" t="n"/>
      <c r="F120" s="19" t="n"/>
      <c r="G120" s="19" t="n"/>
      <c r="H120" s="19" t="n"/>
      <c r="I120" s="33" t="n"/>
      <c r="J120" s="19" t="n"/>
      <c r="K120" s="19" t="n"/>
    </row>
    <row r="121" ht="18" customHeight="1" s="42">
      <c r="A121" s="11" t="n"/>
      <c r="B121" s="11" t="n"/>
      <c r="C121" s="11" t="n"/>
      <c r="D121" s="11" t="n"/>
      <c r="E121" s="11" t="n"/>
      <c r="F121" s="11" t="n"/>
      <c r="G121" s="11" t="n"/>
      <c r="H121" s="11" t="n"/>
      <c r="I121" s="34" t="n"/>
      <c r="J121" s="11" t="n"/>
      <c r="K121" s="11" t="n"/>
    </row>
    <row r="122" ht="18" customHeight="1" s="42">
      <c r="A122" s="19" t="n"/>
      <c r="B122" s="19" t="n"/>
      <c r="C122" s="19" t="n"/>
      <c r="D122" s="19" t="n"/>
      <c r="E122" s="19" t="n"/>
      <c r="F122" s="19" t="n"/>
      <c r="G122" s="19" t="n"/>
      <c r="H122" s="19" t="n"/>
      <c r="I122" s="33" t="n"/>
      <c r="J122" s="19" t="n"/>
      <c r="K122" s="19" t="n"/>
    </row>
    <row r="123" ht="18" customHeight="1" s="42">
      <c r="A123" s="11" t="n"/>
      <c r="B123" s="11" t="n"/>
      <c r="C123" s="11" t="n"/>
      <c r="D123" s="11" t="n"/>
      <c r="E123" s="11" t="n"/>
      <c r="F123" s="11" t="n"/>
      <c r="G123" s="11" t="n"/>
      <c r="H123" s="11" t="n"/>
      <c r="I123" s="34" t="n"/>
      <c r="J123" s="11" t="n"/>
      <c r="K123" s="11" t="n"/>
    </row>
    <row r="124" ht="18" customHeight="1" s="42">
      <c r="A124" s="19" t="n"/>
      <c r="B124" s="19" t="n"/>
      <c r="C124" s="19" t="n"/>
      <c r="D124" s="19" t="n"/>
      <c r="E124" s="19" t="n"/>
      <c r="F124" s="19" t="n"/>
      <c r="G124" s="19" t="n"/>
      <c r="H124" s="19" t="n"/>
      <c r="I124" s="33" t="n"/>
      <c r="J124" s="19" t="n"/>
      <c r="K124" s="19" t="n"/>
    </row>
    <row r="125" ht="18" customHeight="1" s="42">
      <c r="A125" s="11" t="n"/>
      <c r="B125" s="11" t="n"/>
      <c r="C125" s="11" t="n"/>
      <c r="D125" s="11" t="n"/>
      <c r="E125" s="11" t="n"/>
      <c r="F125" s="11" t="n"/>
      <c r="G125" s="11" t="n"/>
      <c r="H125" s="11" t="n"/>
      <c r="I125" s="34" t="n"/>
      <c r="J125" s="11" t="n"/>
      <c r="K125" s="11" t="n"/>
    </row>
    <row r="126" ht="18" customHeight="1" s="42">
      <c r="A126" s="19" t="n"/>
      <c r="B126" s="19" t="n"/>
      <c r="C126" s="19" t="n"/>
      <c r="D126" s="19" t="n"/>
      <c r="E126" s="19" t="n"/>
      <c r="F126" s="19" t="n"/>
      <c r="G126" s="19" t="n"/>
      <c r="H126" s="19" t="n"/>
      <c r="I126" s="33" t="n"/>
      <c r="J126" s="19" t="n"/>
      <c r="K126" s="19" t="n"/>
    </row>
    <row r="127" ht="18" customHeight="1" s="42">
      <c r="A127" s="11" t="n"/>
      <c r="B127" s="11" t="n"/>
      <c r="C127" s="11" t="n"/>
      <c r="D127" s="11" t="n"/>
      <c r="E127" s="11" t="n"/>
      <c r="F127" s="11" t="n"/>
      <c r="G127" s="11" t="n"/>
      <c r="H127" s="11" t="n"/>
      <c r="I127" s="34" t="n"/>
      <c r="J127" s="11" t="n"/>
      <c r="K127" s="11" t="n"/>
    </row>
    <row r="128" ht="18" customHeight="1" s="42">
      <c r="A128" s="19" t="n"/>
      <c r="B128" s="19" t="n"/>
      <c r="C128" s="19" t="n"/>
      <c r="D128" s="19" t="n"/>
      <c r="E128" s="19" t="n"/>
      <c r="F128" s="19" t="n"/>
      <c r="G128" s="19" t="n"/>
      <c r="H128" s="19" t="n"/>
      <c r="I128" s="33" t="n"/>
      <c r="J128" s="19" t="n"/>
      <c r="K128" s="19" t="n"/>
    </row>
    <row r="129" ht="18" customHeight="1" s="42">
      <c r="A129" s="11" t="n"/>
      <c r="B129" s="11" t="n"/>
      <c r="C129" s="11" t="n"/>
      <c r="D129" s="11" t="n"/>
      <c r="E129" s="11" t="n"/>
      <c r="F129" s="11" t="n"/>
      <c r="G129" s="11" t="n"/>
      <c r="H129" s="11" t="n"/>
      <c r="I129" s="34" t="n"/>
      <c r="J129" s="11" t="n"/>
      <c r="K129" s="11" t="n"/>
    </row>
    <row r="130" ht="18" customHeight="1" s="42">
      <c r="A130" s="19" t="n"/>
      <c r="B130" s="19" t="n"/>
      <c r="C130" s="19" t="n"/>
      <c r="D130" s="19" t="n"/>
      <c r="E130" s="19" t="n"/>
      <c r="F130" s="19" t="n"/>
      <c r="G130" s="19" t="n"/>
      <c r="H130" s="19" t="n"/>
      <c r="I130" s="33" t="n"/>
      <c r="J130" s="19" t="n"/>
      <c r="K130" s="19" t="n"/>
    </row>
    <row r="131" ht="18" customHeight="1" s="42">
      <c r="A131" s="11" t="n"/>
      <c r="B131" s="11" t="n"/>
      <c r="C131" s="11" t="n"/>
      <c r="D131" s="11" t="n"/>
      <c r="E131" s="11" t="n"/>
      <c r="F131" s="11" t="n"/>
      <c r="G131" s="11" t="n"/>
      <c r="H131" s="11" t="n"/>
      <c r="I131" s="34" t="n"/>
      <c r="J131" s="11" t="n"/>
      <c r="K131" s="11" t="n"/>
    </row>
    <row r="132" ht="18" customHeight="1" s="42">
      <c r="A132" s="19" t="n"/>
      <c r="B132" s="19" t="n"/>
      <c r="C132" s="19" t="n"/>
      <c r="D132" s="19" t="n"/>
      <c r="E132" s="19" t="n"/>
      <c r="F132" s="19" t="n"/>
      <c r="G132" s="19" t="n"/>
      <c r="H132" s="19" t="n"/>
      <c r="I132" s="33" t="n"/>
      <c r="J132" s="19" t="n"/>
      <c r="K132" s="19" t="n"/>
    </row>
    <row r="133" ht="18" customHeight="1" s="42">
      <c r="A133" s="11" t="n"/>
      <c r="B133" s="11" t="n"/>
      <c r="C133" s="11" t="n"/>
      <c r="D133" s="11" t="n"/>
      <c r="E133" s="11" t="n"/>
      <c r="F133" s="11" t="n"/>
      <c r="G133" s="11" t="n"/>
      <c r="H133" s="11" t="n"/>
      <c r="I133" s="34" t="n"/>
      <c r="J133" s="11" t="n"/>
      <c r="K133" s="11" t="n"/>
    </row>
    <row r="134" ht="18" customHeight="1" s="42">
      <c r="A134" s="19" t="n"/>
      <c r="B134" s="19" t="n"/>
      <c r="C134" s="19" t="n"/>
      <c r="D134" s="19" t="n"/>
      <c r="E134" s="19" t="n"/>
      <c r="F134" s="19" t="n"/>
      <c r="G134" s="19" t="n"/>
      <c r="H134" s="19" t="n"/>
      <c r="I134" s="33" t="n"/>
      <c r="J134" s="19" t="n"/>
      <c r="K134" s="19" t="n"/>
    </row>
    <row r="135" ht="18" customHeight="1" s="42">
      <c r="A135" s="11" t="n"/>
      <c r="B135" s="11" t="n"/>
      <c r="C135" s="11" t="n"/>
      <c r="D135" s="11" t="n"/>
      <c r="E135" s="11" t="n"/>
      <c r="F135" s="11" t="n"/>
      <c r="G135" s="11" t="n"/>
      <c r="H135" s="11" t="n"/>
      <c r="I135" s="34" t="n"/>
      <c r="J135" s="11" t="n"/>
      <c r="K135" s="11" t="n"/>
    </row>
    <row r="136" ht="18" customHeight="1" s="42">
      <c r="A136" s="19" t="n"/>
      <c r="B136" s="19" t="n"/>
      <c r="C136" s="19" t="n"/>
      <c r="D136" s="19" t="n"/>
      <c r="E136" s="19" t="n"/>
      <c r="F136" s="19" t="n"/>
      <c r="G136" s="19" t="n"/>
      <c r="H136" s="19" t="n"/>
      <c r="I136" s="33" t="n"/>
      <c r="J136" s="19" t="n"/>
      <c r="K136" s="19" t="n"/>
    </row>
    <row r="137" ht="18" customHeight="1" s="42">
      <c r="A137" s="11" t="n"/>
      <c r="B137" s="11" t="n"/>
      <c r="C137" s="11" t="n"/>
      <c r="D137" s="11" t="n"/>
      <c r="E137" s="11" t="n"/>
      <c r="F137" s="11" t="n"/>
      <c r="G137" s="11" t="n"/>
      <c r="H137" s="11" t="n"/>
      <c r="I137" s="34" t="n"/>
      <c r="J137" s="11" t="n"/>
      <c r="K137" s="11" t="n"/>
    </row>
    <row r="138" ht="18" customHeight="1" s="42">
      <c r="A138" s="19" t="n"/>
      <c r="B138" s="19" t="n"/>
      <c r="C138" s="19" t="n"/>
      <c r="D138" s="19" t="n"/>
      <c r="E138" s="19" t="n"/>
      <c r="F138" s="19" t="n"/>
      <c r="G138" s="19" t="n"/>
      <c r="H138" s="19" t="n"/>
      <c r="I138" s="33" t="n"/>
      <c r="J138" s="19" t="n"/>
      <c r="K138" s="19" t="n"/>
    </row>
    <row r="139" ht="18" customHeight="1" s="42">
      <c r="A139" s="11" t="n"/>
      <c r="B139" s="11" t="n"/>
      <c r="C139" s="11" t="n"/>
      <c r="D139" s="11" t="n"/>
      <c r="E139" s="11" t="n"/>
      <c r="F139" s="11" t="n"/>
      <c r="G139" s="11" t="n"/>
      <c r="H139" s="11" t="n"/>
      <c r="I139" s="34" t="n"/>
      <c r="J139" s="11" t="n"/>
      <c r="K139" s="11" t="n"/>
    </row>
    <row r="140" ht="18" customHeight="1" s="42">
      <c r="A140" s="19" t="n"/>
      <c r="B140" s="19" t="n"/>
      <c r="C140" s="19" t="n"/>
      <c r="D140" s="19" t="n"/>
      <c r="E140" s="19" t="n"/>
      <c r="F140" s="19" t="n"/>
      <c r="G140" s="19" t="n"/>
      <c r="H140" s="19" t="n"/>
      <c r="I140" s="33" t="n"/>
      <c r="J140" s="19" t="n"/>
      <c r="K140" s="19" t="n"/>
    </row>
    <row r="141" ht="18" customHeight="1" s="42">
      <c r="A141" s="11" t="n"/>
      <c r="B141" s="11" t="n"/>
      <c r="C141" s="11" t="n"/>
      <c r="D141" s="11" t="n"/>
      <c r="E141" s="11" t="n"/>
      <c r="F141" s="11" t="n"/>
      <c r="G141" s="11" t="n"/>
      <c r="H141" s="11" t="n"/>
      <c r="I141" s="34" t="n"/>
      <c r="J141" s="11" t="n"/>
      <c r="K141" s="11" t="n"/>
    </row>
    <row r="142" ht="18" customHeight="1" s="42">
      <c r="A142" s="19" t="n"/>
      <c r="B142" s="19" t="n"/>
      <c r="C142" s="19" t="n"/>
      <c r="D142" s="19" t="n"/>
      <c r="E142" s="19" t="n"/>
      <c r="F142" s="19" t="n"/>
      <c r="G142" s="19" t="n"/>
      <c r="H142" s="19" t="n"/>
      <c r="I142" s="33" t="n"/>
      <c r="J142" s="19" t="n"/>
      <c r="K142" s="19" t="n"/>
    </row>
    <row r="143" ht="18" customHeight="1" s="42">
      <c r="A143" s="11" t="n"/>
      <c r="B143" s="11" t="n"/>
      <c r="C143" s="11" t="n"/>
      <c r="D143" s="11" t="n"/>
      <c r="E143" s="11" t="n"/>
      <c r="F143" s="11" t="n"/>
      <c r="G143" s="11" t="n"/>
      <c r="H143" s="11" t="n"/>
      <c r="I143" s="34" t="n"/>
      <c r="J143" s="11" t="n"/>
      <c r="K143" s="11" t="n"/>
    </row>
    <row r="144" ht="18" customHeight="1" s="42">
      <c r="A144" s="19" t="n"/>
      <c r="B144" s="19" t="n"/>
      <c r="C144" s="19" t="n"/>
      <c r="D144" s="19" t="n"/>
      <c r="E144" s="19" t="n"/>
      <c r="F144" s="19" t="n"/>
      <c r="G144" s="19" t="n"/>
      <c r="H144" s="19" t="n"/>
      <c r="I144" s="33" t="n"/>
      <c r="J144" s="19" t="n"/>
      <c r="K144" s="19" t="n"/>
    </row>
    <row r="145" ht="18" customHeight="1" s="42">
      <c r="A145" s="11" t="n"/>
      <c r="B145" s="11" t="n"/>
      <c r="C145" s="11" t="n"/>
      <c r="D145" s="11" t="n"/>
      <c r="E145" s="11" t="n"/>
      <c r="F145" s="11" t="n"/>
      <c r="G145" s="11" t="n"/>
      <c r="H145" s="11" t="n"/>
      <c r="I145" s="34" t="n"/>
      <c r="J145" s="11" t="n"/>
      <c r="K145" s="11" t="n"/>
    </row>
    <row r="146" ht="18" customHeight="1" s="42">
      <c r="A146" s="19" t="n"/>
      <c r="B146" s="19" t="n"/>
      <c r="C146" s="19" t="n"/>
      <c r="D146" s="19" t="n"/>
      <c r="E146" s="19" t="n"/>
      <c r="F146" s="19" t="n"/>
      <c r="G146" s="19" t="n"/>
      <c r="H146" s="19" t="n"/>
      <c r="I146" s="33" t="n"/>
      <c r="J146" s="19" t="n"/>
      <c r="K146" s="19" t="n"/>
    </row>
    <row r="147" ht="18" customHeight="1" s="42">
      <c r="A147" s="11" t="n"/>
      <c r="B147" s="11" t="n"/>
      <c r="C147" s="11" t="n"/>
      <c r="D147" s="11" t="n"/>
      <c r="E147" s="11" t="n"/>
      <c r="F147" s="11" t="n"/>
      <c r="G147" s="11" t="n"/>
      <c r="H147" s="11" t="n"/>
      <c r="I147" s="34" t="n"/>
      <c r="J147" s="11" t="n"/>
      <c r="K147" s="11" t="n"/>
    </row>
    <row r="148" ht="18" customHeight="1" s="42">
      <c r="A148" s="19" t="n"/>
      <c r="B148" s="19" t="n"/>
      <c r="C148" s="19" t="n"/>
      <c r="D148" s="19" t="n"/>
      <c r="E148" s="19" t="n"/>
      <c r="F148" s="19" t="n"/>
      <c r="G148" s="19" t="n"/>
      <c r="H148" s="19" t="n"/>
      <c r="I148" s="33" t="n"/>
      <c r="J148" s="19" t="n"/>
      <c r="K148" s="19" t="n"/>
    </row>
    <row r="149" ht="18" customHeight="1" s="42">
      <c r="A149" s="11" t="n"/>
      <c r="B149" s="11" t="n"/>
      <c r="C149" s="11" t="n"/>
      <c r="D149" s="11" t="n"/>
      <c r="E149" s="11" t="n"/>
      <c r="F149" s="11" t="n"/>
      <c r="G149" s="11" t="n"/>
      <c r="H149" s="11" t="n"/>
      <c r="I149" s="34" t="n"/>
      <c r="J149" s="11" t="n"/>
      <c r="K149" s="11" t="n"/>
    </row>
    <row r="150" ht="18" customHeight="1" s="42">
      <c r="A150" s="19" t="n"/>
      <c r="B150" s="19" t="n"/>
      <c r="C150" s="19" t="n"/>
      <c r="D150" s="19" t="n"/>
      <c r="E150" s="19" t="n"/>
      <c r="F150" s="19" t="n"/>
      <c r="G150" s="19" t="n"/>
      <c r="H150" s="19" t="n"/>
      <c r="I150" s="33" t="n"/>
      <c r="J150" s="19" t="n"/>
      <c r="K150" s="19" t="n"/>
    </row>
    <row r="151" ht="18" customHeight="1" s="42">
      <c r="A151" s="11" t="n"/>
      <c r="B151" s="11" t="n"/>
      <c r="C151" s="11" t="n"/>
      <c r="D151" s="11" t="n"/>
      <c r="E151" s="11" t="n"/>
      <c r="F151" s="11" t="n"/>
      <c r="G151" s="11" t="n"/>
      <c r="H151" s="11" t="n"/>
      <c r="I151" s="34" t="n"/>
      <c r="J151" s="11" t="n"/>
      <c r="K151" s="11" t="n"/>
    </row>
    <row r="152" ht="18" customHeight="1" s="42">
      <c r="A152" s="19" t="n"/>
      <c r="B152" s="19" t="n"/>
      <c r="C152" s="19" t="n"/>
      <c r="D152" s="19" t="n"/>
      <c r="E152" s="19" t="n"/>
      <c r="F152" s="19" t="n"/>
      <c r="G152" s="19" t="n"/>
      <c r="H152" s="19" t="n"/>
      <c r="I152" s="33" t="n"/>
      <c r="J152" s="19" t="n"/>
      <c r="K152" s="19" t="n"/>
    </row>
    <row r="153" ht="18" customHeight="1" s="42">
      <c r="A153" s="11" t="n"/>
      <c r="B153" s="11" t="n"/>
      <c r="C153" s="11" t="n"/>
      <c r="D153" s="11" t="n"/>
      <c r="E153" s="11" t="n"/>
      <c r="F153" s="11" t="n"/>
      <c r="G153" s="11" t="n"/>
      <c r="H153" s="11" t="n"/>
      <c r="I153" s="34" t="n"/>
      <c r="J153" s="11" t="n"/>
      <c r="K153" s="11" t="n"/>
    </row>
    <row r="154" ht="18" customHeight="1" s="42">
      <c r="A154" s="19" t="n"/>
      <c r="B154" s="19" t="n"/>
      <c r="C154" s="19" t="n"/>
      <c r="D154" s="19" t="n"/>
      <c r="E154" s="19" t="n"/>
      <c r="F154" s="19" t="n"/>
      <c r="G154" s="19" t="n"/>
      <c r="H154" s="19" t="n"/>
      <c r="I154" s="33" t="n"/>
      <c r="J154" s="19" t="n"/>
      <c r="K154" s="19" t="n"/>
    </row>
    <row r="155" ht="18" customHeight="1" s="42">
      <c r="A155" s="11" t="n"/>
      <c r="B155" s="11" t="n"/>
      <c r="C155" s="11" t="n"/>
      <c r="D155" s="11" t="n"/>
      <c r="E155" s="11" t="n"/>
      <c r="F155" s="11" t="n"/>
      <c r="G155" s="11" t="n"/>
      <c r="H155" s="11" t="n"/>
      <c r="I155" s="34" t="n"/>
      <c r="J155" s="11" t="n"/>
      <c r="K155" s="11" t="n"/>
    </row>
    <row r="156" ht="18" customHeight="1" s="42">
      <c r="A156" s="19" t="n"/>
      <c r="B156" s="19" t="n"/>
      <c r="C156" s="19" t="n"/>
      <c r="D156" s="19" t="n"/>
      <c r="E156" s="19" t="n"/>
      <c r="F156" s="19" t="n"/>
      <c r="G156" s="19" t="n"/>
      <c r="H156" s="19" t="n"/>
      <c r="I156" s="33" t="n"/>
      <c r="J156" s="19" t="n"/>
      <c r="K156" s="19" t="n"/>
    </row>
    <row r="157" ht="18" customHeight="1" s="42">
      <c r="A157" s="11" t="n"/>
      <c r="B157" s="11" t="n"/>
      <c r="C157" s="11" t="n"/>
      <c r="D157" s="11" t="n"/>
      <c r="E157" s="11" t="n"/>
      <c r="F157" s="11" t="n"/>
      <c r="G157" s="11" t="n"/>
      <c r="H157" s="11" t="n"/>
      <c r="I157" s="34" t="n"/>
      <c r="J157" s="11" t="n"/>
      <c r="K157" s="11" t="n"/>
    </row>
    <row r="158" ht="18" customHeight="1" s="42">
      <c r="A158" s="19" t="n"/>
      <c r="B158" s="19" t="n"/>
      <c r="C158" s="19" t="n"/>
      <c r="D158" s="19" t="n"/>
      <c r="E158" s="19" t="n"/>
      <c r="F158" s="19" t="n"/>
      <c r="G158" s="19" t="n"/>
      <c r="H158" s="19" t="n"/>
      <c r="I158" s="33" t="n"/>
      <c r="J158" s="19" t="n"/>
      <c r="K158" s="19" t="n"/>
    </row>
    <row r="159" ht="18" customHeight="1" s="42">
      <c r="A159" s="11" t="n"/>
      <c r="B159" s="11" t="n"/>
      <c r="C159" s="11" t="n"/>
      <c r="D159" s="11" t="n"/>
      <c r="E159" s="11" t="n"/>
      <c r="F159" s="11" t="n"/>
      <c r="G159" s="11" t="n"/>
      <c r="H159" s="11" t="n"/>
      <c r="I159" s="34" t="n"/>
      <c r="J159" s="11" t="n"/>
      <c r="K159" s="11" t="n"/>
    </row>
    <row r="160" ht="18" customHeight="1" s="42">
      <c r="A160" s="19" t="n"/>
      <c r="B160" s="19" t="n"/>
      <c r="C160" s="19" t="n"/>
      <c r="D160" s="19" t="n"/>
      <c r="E160" s="19" t="n"/>
      <c r="F160" s="19" t="n"/>
      <c r="G160" s="19" t="n"/>
      <c r="H160" s="19" t="n"/>
      <c r="I160" s="33" t="n"/>
      <c r="J160" s="19" t="n"/>
      <c r="K160" s="19" t="n"/>
    </row>
    <row r="161" ht="18" customHeight="1" s="42">
      <c r="A161" s="11" t="n"/>
      <c r="B161" s="11" t="n"/>
      <c r="C161" s="11" t="n"/>
      <c r="D161" s="11" t="n"/>
      <c r="E161" s="11" t="n"/>
      <c r="F161" s="11" t="n"/>
      <c r="G161" s="11" t="n"/>
      <c r="H161" s="11" t="n"/>
      <c r="I161" s="34" t="n"/>
      <c r="J161" s="11" t="n"/>
      <c r="K161" s="11" t="n"/>
    </row>
    <row r="162" ht="18" customHeight="1" s="42">
      <c r="A162" s="19" t="n"/>
      <c r="B162" s="19" t="n"/>
      <c r="C162" s="19" t="n"/>
      <c r="D162" s="19" t="n"/>
      <c r="E162" s="19" t="n"/>
      <c r="F162" s="19" t="n"/>
      <c r="G162" s="19" t="n"/>
      <c r="H162" s="19" t="n"/>
      <c r="I162" s="33" t="n"/>
      <c r="J162" s="19" t="n"/>
      <c r="K162" s="19" t="n"/>
    </row>
    <row r="163" ht="18" customHeight="1" s="42">
      <c r="A163" s="11" t="n"/>
      <c r="B163" s="11" t="n"/>
      <c r="C163" s="11" t="n"/>
      <c r="D163" s="11" t="n"/>
      <c r="E163" s="11" t="n"/>
      <c r="F163" s="11" t="n"/>
      <c r="G163" s="11" t="n"/>
      <c r="H163" s="11" t="n"/>
      <c r="I163" s="34" t="n"/>
      <c r="J163" s="11" t="n"/>
      <c r="K163" s="11" t="n"/>
    </row>
    <row r="164" ht="18" customHeight="1" s="42">
      <c r="A164" s="19" t="n"/>
      <c r="B164" s="19" t="n"/>
      <c r="C164" s="19" t="n"/>
      <c r="D164" s="19" t="n"/>
      <c r="E164" s="19" t="n"/>
      <c r="F164" s="19" t="n"/>
      <c r="G164" s="19" t="n"/>
      <c r="H164" s="19" t="n"/>
      <c r="I164" s="33" t="n"/>
      <c r="J164" s="19" t="n"/>
      <c r="K164" s="19" t="n"/>
    </row>
    <row r="165" ht="18" customHeight="1" s="42">
      <c r="A165" s="11" t="n"/>
      <c r="B165" s="11" t="n"/>
      <c r="C165" s="11" t="n"/>
      <c r="D165" s="11" t="n"/>
      <c r="E165" s="11" t="n"/>
      <c r="F165" s="11" t="n"/>
      <c r="G165" s="11" t="n"/>
      <c r="H165" s="11" t="n"/>
      <c r="I165" s="34" t="n"/>
      <c r="J165" s="11" t="n"/>
      <c r="K165" s="11" t="n"/>
    </row>
    <row r="166" ht="18" customHeight="1" s="42">
      <c r="A166" s="19" t="n"/>
      <c r="B166" s="19" t="n"/>
      <c r="C166" s="19" t="n"/>
      <c r="D166" s="19" t="n"/>
      <c r="E166" s="19" t="n"/>
      <c r="F166" s="19" t="n"/>
      <c r="G166" s="19" t="n"/>
      <c r="H166" s="19" t="n"/>
      <c r="I166" s="33" t="n"/>
      <c r="J166" s="19" t="n"/>
      <c r="K166" s="19" t="n"/>
    </row>
    <row r="167" ht="18" customHeight="1" s="42">
      <c r="A167" s="11" t="n"/>
      <c r="B167" s="11" t="n"/>
      <c r="C167" s="11" t="n"/>
      <c r="D167" s="11" t="n"/>
      <c r="E167" s="11" t="n"/>
      <c r="F167" s="11" t="n"/>
      <c r="G167" s="11" t="n"/>
      <c r="H167" s="11" t="n"/>
      <c r="I167" s="34" t="n"/>
      <c r="J167" s="11" t="n"/>
      <c r="K167" s="11" t="n"/>
    </row>
    <row r="168" ht="18" customHeight="1" s="42">
      <c r="A168" s="19" t="n"/>
      <c r="B168" s="19" t="n"/>
      <c r="C168" s="19" t="n"/>
      <c r="D168" s="19" t="n"/>
      <c r="E168" s="19" t="n"/>
      <c r="F168" s="19" t="n"/>
      <c r="G168" s="19" t="n"/>
      <c r="H168" s="19" t="n"/>
      <c r="I168" s="33" t="n"/>
      <c r="J168" s="19" t="n"/>
      <c r="K168" s="19" t="n"/>
    </row>
    <row r="169" ht="18" customHeight="1" s="42">
      <c r="A169" s="11" t="n"/>
      <c r="B169" s="11" t="n"/>
      <c r="C169" s="11" t="n"/>
      <c r="D169" s="11" t="n"/>
      <c r="E169" s="11" t="n"/>
      <c r="F169" s="11" t="n"/>
      <c r="G169" s="11" t="n"/>
      <c r="H169" s="11" t="n"/>
      <c r="I169" s="34" t="n"/>
      <c r="J169" s="11" t="n"/>
      <c r="K169" s="11" t="n"/>
    </row>
    <row r="170" ht="18" customHeight="1" s="42">
      <c r="A170" s="19" t="n"/>
      <c r="B170" s="19" t="n"/>
      <c r="C170" s="19" t="n"/>
      <c r="D170" s="19" t="n"/>
      <c r="E170" s="19" t="n"/>
      <c r="F170" s="19" t="n"/>
      <c r="G170" s="19" t="n"/>
      <c r="H170" s="19" t="n"/>
      <c r="I170" s="33" t="n"/>
      <c r="J170" s="19" t="n"/>
      <c r="K170" s="19" t="n"/>
    </row>
    <row r="171" ht="18" customHeight="1" s="42">
      <c r="A171" s="11" t="n"/>
      <c r="B171" s="11" t="n"/>
      <c r="C171" s="11" t="n"/>
      <c r="D171" s="11" t="n"/>
      <c r="E171" s="11" t="n"/>
      <c r="F171" s="11" t="n"/>
      <c r="G171" s="11" t="n"/>
      <c r="H171" s="11" t="n"/>
      <c r="I171" s="34" t="n"/>
      <c r="J171" s="11" t="n"/>
      <c r="K171" s="11" t="n"/>
    </row>
    <row r="172" ht="18" customHeight="1" s="42">
      <c r="A172" s="19" t="n"/>
      <c r="B172" s="19" t="n"/>
      <c r="C172" s="19" t="n"/>
      <c r="D172" s="19" t="n"/>
      <c r="E172" s="19" t="n"/>
      <c r="F172" s="19" t="n"/>
      <c r="G172" s="19" t="n"/>
      <c r="H172" s="19" t="n"/>
      <c r="I172" s="33" t="n"/>
      <c r="J172" s="19" t="n"/>
      <c r="K172" s="19" t="n"/>
    </row>
    <row r="173" ht="18" customHeight="1" s="42">
      <c r="A173" s="11" t="n"/>
      <c r="B173" s="11" t="n"/>
      <c r="C173" s="11" t="n"/>
      <c r="D173" s="11" t="n"/>
      <c r="E173" s="11" t="n"/>
      <c r="F173" s="11" t="n"/>
      <c r="G173" s="11" t="n"/>
      <c r="H173" s="11" t="n"/>
      <c r="I173" s="34" t="n"/>
      <c r="J173" s="11" t="n"/>
      <c r="K173" s="11" t="n"/>
    </row>
    <row r="174" ht="18" customHeight="1" s="42">
      <c r="A174" s="19" t="n"/>
      <c r="B174" s="19" t="n"/>
      <c r="C174" s="19" t="n"/>
      <c r="D174" s="19" t="n"/>
      <c r="E174" s="19" t="n"/>
      <c r="F174" s="19" t="n"/>
      <c r="G174" s="19" t="n"/>
      <c r="H174" s="19" t="n"/>
      <c r="I174" s="33" t="n"/>
      <c r="J174" s="19" t="n"/>
      <c r="K174" s="19" t="n"/>
    </row>
    <row r="175" ht="18" customHeight="1" s="42">
      <c r="A175" s="11" t="n"/>
      <c r="B175" s="11" t="n"/>
      <c r="C175" s="11" t="n"/>
      <c r="D175" s="11" t="n"/>
      <c r="E175" s="11" t="n"/>
      <c r="F175" s="11" t="n"/>
      <c r="G175" s="11" t="n"/>
      <c r="H175" s="11" t="n"/>
      <c r="I175" s="34" t="n"/>
      <c r="J175" s="11" t="n"/>
      <c r="K175" s="11" t="n"/>
    </row>
    <row r="176" ht="18" customHeight="1" s="42">
      <c r="A176" s="19" t="n"/>
      <c r="B176" s="19" t="n"/>
      <c r="C176" s="19" t="n"/>
      <c r="D176" s="19" t="n"/>
      <c r="E176" s="19" t="n"/>
      <c r="F176" s="19" t="n"/>
      <c r="G176" s="19" t="n"/>
      <c r="H176" s="19" t="n"/>
      <c r="I176" s="33" t="n"/>
      <c r="J176" s="19" t="n"/>
      <c r="K176" s="19" t="n"/>
    </row>
    <row r="177" ht="18" customHeight="1" s="42">
      <c r="A177" s="11" t="n"/>
      <c r="B177" s="11" t="n"/>
      <c r="C177" s="11" t="n"/>
      <c r="D177" s="11" t="n"/>
      <c r="E177" s="11" t="n"/>
      <c r="F177" s="11" t="n"/>
      <c r="G177" s="11" t="n"/>
      <c r="H177" s="11" t="n"/>
      <c r="I177" s="34" t="n"/>
      <c r="J177" s="11" t="n"/>
      <c r="K177" s="11" t="n"/>
    </row>
    <row r="178" ht="18" customHeight="1" s="42">
      <c r="A178" s="19" t="n"/>
      <c r="B178" s="19" t="n"/>
      <c r="C178" s="19" t="n"/>
      <c r="D178" s="19" t="n"/>
      <c r="E178" s="19" t="n"/>
      <c r="F178" s="19" t="n"/>
      <c r="G178" s="19" t="n"/>
      <c r="H178" s="19" t="n"/>
      <c r="I178" s="33" t="n"/>
      <c r="J178" s="19" t="n"/>
      <c r="K178" s="19" t="n"/>
    </row>
    <row r="179" ht="18" customHeight="1" s="42">
      <c r="A179" s="11" t="n"/>
      <c r="B179" s="11" t="n"/>
      <c r="C179" s="11" t="n"/>
      <c r="D179" s="11" t="n"/>
      <c r="E179" s="11" t="n"/>
      <c r="F179" s="11" t="n"/>
      <c r="G179" s="11" t="n"/>
      <c r="H179" s="11" t="n"/>
      <c r="I179" s="34" t="n"/>
      <c r="J179" s="11" t="n"/>
      <c r="K179" s="11" t="n"/>
    </row>
    <row r="180" ht="18" customHeight="1" s="42">
      <c r="A180" s="19" t="n"/>
      <c r="B180" s="19" t="n"/>
      <c r="C180" s="19" t="n"/>
      <c r="D180" s="19" t="n"/>
      <c r="E180" s="19" t="n"/>
      <c r="F180" s="19" t="n"/>
      <c r="G180" s="19" t="n"/>
      <c r="H180" s="19" t="n"/>
      <c r="I180" s="33" t="n"/>
      <c r="J180" s="19" t="n"/>
      <c r="K180" s="19" t="n"/>
    </row>
    <row r="181" ht="18" customHeight="1" s="42">
      <c r="A181" s="11" t="n"/>
      <c r="B181" s="11" t="n"/>
      <c r="C181" s="11" t="n"/>
      <c r="D181" s="11" t="n"/>
      <c r="E181" s="11" t="n"/>
      <c r="F181" s="11" t="n"/>
      <c r="G181" s="11" t="n"/>
      <c r="H181" s="11" t="n"/>
      <c r="I181" s="34" t="n"/>
      <c r="J181" s="11" t="n"/>
      <c r="K181" s="11" t="n"/>
    </row>
    <row r="182" ht="18" customHeight="1" s="42">
      <c r="A182" s="19" t="n"/>
      <c r="B182" s="19" t="n"/>
      <c r="C182" s="19" t="n"/>
      <c r="D182" s="19" t="n"/>
      <c r="E182" s="19" t="n"/>
      <c r="F182" s="19" t="n"/>
      <c r="G182" s="19" t="n"/>
      <c r="H182" s="19" t="n"/>
      <c r="I182" s="33" t="n"/>
      <c r="J182" s="19" t="n"/>
      <c r="K182" s="19" t="n"/>
    </row>
    <row r="183" ht="18" customHeight="1" s="42">
      <c r="A183" s="11" t="n"/>
      <c r="B183" s="11" t="n"/>
      <c r="C183" s="11" t="n"/>
      <c r="D183" s="11" t="n"/>
      <c r="E183" s="11" t="n"/>
      <c r="F183" s="11" t="n"/>
      <c r="G183" s="11" t="n"/>
      <c r="H183" s="11" t="n"/>
      <c r="I183" s="34" t="n"/>
      <c r="J183" s="11" t="n"/>
      <c r="K183" s="11" t="n"/>
    </row>
    <row r="184" ht="18" customHeight="1" s="42">
      <c r="A184" s="19" t="n"/>
      <c r="B184" s="19" t="n"/>
      <c r="C184" s="19" t="n"/>
      <c r="D184" s="19" t="n"/>
      <c r="E184" s="19" t="n"/>
      <c r="F184" s="19" t="n"/>
      <c r="G184" s="19" t="n"/>
      <c r="H184" s="19" t="n"/>
      <c r="I184" s="33" t="n"/>
      <c r="J184" s="19" t="n"/>
      <c r="K184" s="19" t="n"/>
    </row>
    <row r="185" ht="18" customHeight="1" s="42">
      <c r="A185" s="11" t="n"/>
      <c r="B185" s="11" t="n"/>
      <c r="C185" s="11" t="n"/>
      <c r="D185" s="11" t="n"/>
      <c r="E185" s="11" t="n"/>
      <c r="F185" s="11" t="n"/>
      <c r="G185" s="11" t="n"/>
      <c r="H185" s="11" t="n"/>
      <c r="I185" s="34" t="n"/>
      <c r="J185" s="11" t="n"/>
      <c r="K185" s="11" t="n"/>
    </row>
    <row r="186" ht="18" customHeight="1" s="42">
      <c r="A186" s="19" t="n"/>
      <c r="B186" s="19" t="n"/>
      <c r="C186" s="19" t="n"/>
      <c r="D186" s="19" t="n"/>
      <c r="E186" s="19" t="n"/>
      <c r="F186" s="19" t="n"/>
      <c r="G186" s="19" t="n"/>
      <c r="H186" s="19" t="n"/>
      <c r="I186" s="33" t="n"/>
      <c r="J186" s="19" t="n"/>
      <c r="K186" s="19" t="n"/>
    </row>
    <row r="187" ht="18" customHeight="1" s="42">
      <c r="A187" s="11" t="n"/>
      <c r="B187" s="11" t="n"/>
      <c r="C187" s="11" t="n"/>
      <c r="D187" s="11" t="n"/>
      <c r="E187" s="11" t="n"/>
      <c r="F187" s="11" t="n"/>
      <c r="G187" s="11" t="n"/>
      <c r="H187" s="11" t="n"/>
      <c r="I187" s="34" t="n"/>
      <c r="J187" s="11" t="n"/>
      <c r="K187" s="11" t="n"/>
    </row>
    <row r="188" ht="18" customHeight="1" s="42">
      <c r="A188" s="19" t="n"/>
      <c r="B188" s="19" t="n"/>
      <c r="C188" s="19" t="n"/>
      <c r="D188" s="19" t="n"/>
      <c r="E188" s="19" t="n"/>
      <c r="F188" s="19" t="n"/>
      <c r="G188" s="19" t="n"/>
      <c r="H188" s="19" t="n"/>
      <c r="I188" s="33" t="n"/>
      <c r="J188" s="19" t="n"/>
      <c r="K188" s="19" t="n"/>
    </row>
    <row r="189" ht="18" customHeight="1" s="42">
      <c r="A189" s="11" t="n"/>
      <c r="B189" s="11" t="n"/>
      <c r="C189" s="11" t="n"/>
      <c r="D189" s="11" t="n"/>
      <c r="E189" s="11" t="n"/>
      <c r="F189" s="11" t="n"/>
      <c r="G189" s="11" t="n"/>
      <c r="H189" s="11" t="n"/>
      <c r="I189" s="34" t="n"/>
      <c r="J189" s="11" t="n"/>
      <c r="K189" s="11" t="n"/>
    </row>
    <row r="190" ht="18" customHeight="1" s="42">
      <c r="A190" s="19" t="n"/>
      <c r="B190" s="19" t="n"/>
      <c r="C190" s="19" t="n"/>
      <c r="D190" s="19" t="n"/>
      <c r="E190" s="19" t="n"/>
      <c r="F190" s="19" t="n"/>
      <c r="G190" s="19" t="n"/>
      <c r="H190" s="19" t="n"/>
      <c r="I190" s="33" t="n"/>
      <c r="J190" s="19" t="n"/>
      <c r="K190" s="19" t="n"/>
    </row>
    <row r="191" ht="18" customHeight="1" s="42">
      <c r="A191" s="11" t="n"/>
      <c r="B191" s="11" t="n"/>
      <c r="C191" s="11" t="n"/>
      <c r="D191" s="11" t="n"/>
      <c r="E191" s="11" t="n"/>
      <c r="F191" s="11" t="n"/>
      <c r="G191" s="11" t="n"/>
      <c r="H191" s="11" t="n"/>
      <c r="I191" s="34" t="n"/>
      <c r="J191" s="11" t="n"/>
      <c r="K191" s="11" t="n"/>
    </row>
    <row r="192" ht="18" customHeight="1" s="42">
      <c r="A192" s="19" t="n"/>
      <c r="B192" s="19" t="n"/>
      <c r="C192" s="19" t="n"/>
      <c r="D192" s="19" t="n"/>
      <c r="E192" s="19" t="n"/>
      <c r="F192" s="19" t="n"/>
      <c r="G192" s="19" t="n"/>
      <c r="H192" s="19" t="n"/>
      <c r="I192" s="33" t="n"/>
      <c r="J192" s="19" t="n"/>
      <c r="K192" s="19" t="n"/>
    </row>
    <row r="193" ht="18" customHeight="1" s="42">
      <c r="A193" s="11" t="n"/>
      <c r="B193" s="11" t="n"/>
      <c r="C193" s="11" t="n"/>
      <c r="D193" s="11" t="n"/>
      <c r="E193" s="11" t="n"/>
      <c r="F193" s="11" t="n"/>
      <c r="G193" s="11" t="n"/>
      <c r="H193" s="11" t="n"/>
      <c r="I193" s="34" t="n"/>
      <c r="J193" s="11" t="n"/>
      <c r="K193" s="11" t="n"/>
    </row>
    <row r="194" ht="18" customHeight="1" s="42">
      <c r="A194" s="19" t="n"/>
      <c r="B194" s="19" t="n"/>
      <c r="C194" s="19" t="n"/>
      <c r="D194" s="19" t="n"/>
      <c r="E194" s="19" t="n"/>
      <c r="F194" s="19" t="n"/>
      <c r="G194" s="19" t="n"/>
      <c r="H194" s="19" t="n"/>
      <c r="I194" s="33" t="n"/>
      <c r="J194" s="19" t="n"/>
      <c r="K194" s="19" t="n"/>
    </row>
    <row r="195" ht="18" customHeight="1" s="42">
      <c r="A195" s="11" t="n"/>
      <c r="B195" s="11" t="n"/>
      <c r="C195" s="11" t="n"/>
      <c r="D195" s="11" t="n"/>
      <c r="E195" s="11" t="n"/>
      <c r="F195" s="11" t="n"/>
      <c r="G195" s="11" t="n"/>
      <c r="H195" s="11" t="n"/>
      <c r="I195" s="34" t="n"/>
      <c r="J195" s="11" t="n"/>
      <c r="K195" s="11" t="n"/>
    </row>
    <row r="196" ht="18" customHeight="1" s="42">
      <c r="A196" s="19" t="n"/>
      <c r="B196" s="19" t="n"/>
      <c r="C196" s="19" t="n"/>
      <c r="D196" s="19" t="n"/>
      <c r="E196" s="19" t="n"/>
      <c r="F196" s="19" t="n"/>
      <c r="G196" s="19" t="n"/>
      <c r="H196" s="19" t="n"/>
      <c r="I196" s="33" t="n"/>
      <c r="J196" s="19" t="n"/>
      <c r="K196" s="19" t="n"/>
    </row>
    <row r="197" ht="18" customHeight="1" s="42">
      <c r="A197" s="11" t="n"/>
      <c r="B197" s="11" t="n"/>
      <c r="C197" s="11" t="n"/>
      <c r="D197" s="11" t="n"/>
      <c r="E197" s="11" t="n"/>
      <c r="F197" s="11" t="n"/>
      <c r="G197" s="11" t="n"/>
      <c r="H197" s="11" t="n"/>
      <c r="I197" s="34" t="n"/>
      <c r="J197" s="11" t="n"/>
      <c r="K197" s="11" t="n"/>
    </row>
    <row r="198" ht="18" customHeight="1" s="42">
      <c r="A198" s="19" t="n"/>
      <c r="B198" s="19" t="n"/>
      <c r="C198" s="19" t="n"/>
      <c r="D198" s="19" t="n"/>
      <c r="E198" s="19" t="n"/>
      <c r="F198" s="19" t="n"/>
      <c r="G198" s="19" t="n"/>
      <c r="H198" s="19" t="n"/>
      <c r="I198" s="33" t="n"/>
      <c r="J198" s="19" t="n"/>
      <c r="K198" s="19" t="n"/>
    </row>
    <row r="199" ht="18" customHeight="1" s="42">
      <c r="A199" s="11" t="n"/>
      <c r="B199" s="11" t="n"/>
      <c r="C199" s="11" t="n"/>
      <c r="D199" s="11" t="n"/>
      <c r="E199" s="11" t="n"/>
      <c r="F199" s="11" t="n"/>
      <c r="G199" s="11" t="n"/>
      <c r="H199" s="11" t="n"/>
      <c r="I199" s="34" t="n"/>
      <c r="J199" s="11" t="n"/>
      <c r="K199" s="11" t="n"/>
    </row>
    <row r="200" ht="18" customHeight="1" s="42">
      <c r="A200" s="19" t="n"/>
      <c r="B200" s="19" t="n"/>
      <c r="C200" s="19" t="n"/>
      <c r="D200" s="19" t="n"/>
      <c r="E200" s="19" t="n"/>
      <c r="F200" s="19" t="n"/>
      <c r="G200" s="19" t="n"/>
      <c r="H200" s="19" t="n"/>
      <c r="I200" s="33" t="n"/>
      <c r="J200" s="19" t="n"/>
      <c r="K200" s="19" t="n"/>
    </row>
    <row r="201" ht="18" customHeight="1" s="42">
      <c r="A201" s="11" t="n"/>
      <c r="B201" s="11" t="n"/>
      <c r="C201" s="11" t="n"/>
      <c r="D201" s="11" t="n"/>
      <c r="E201" s="11" t="n"/>
      <c r="F201" s="11" t="n"/>
      <c r="G201" s="11" t="n"/>
      <c r="H201" s="11" t="n"/>
      <c r="I201" s="34" t="n"/>
      <c r="J201" s="11" t="n"/>
      <c r="K201" s="11" t="n"/>
    </row>
    <row r="202" ht="18" customHeight="1" s="42">
      <c r="A202" s="19" t="n"/>
      <c r="B202" s="19" t="n"/>
      <c r="C202" s="19" t="n"/>
      <c r="D202" s="19" t="n"/>
      <c r="E202" s="19" t="n"/>
      <c r="F202" s="19" t="n"/>
      <c r="G202" s="19" t="n"/>
      <c r="H202" s="19" t="n"/>
      <c r="I202" s="33" t="n"/>
      <c r="J202" s="19" t="n"/>
      <c r="K202" s="19" t="n"/>
    </row>
    <row r="203" ht="18" customHeight="1" s="42">
      <c r="A203" s="11" t="n"/>
      <c r="B203" s="11" t="n"/>
      <c r="C203" s="11" t="n"/>
      <c r="D203" s="11" t="n"/>
      <c r="E203" s="11" t="n"/>
      <c r="F203" s="11" t="n"/>
      <c r="G203" s="11" t="n"/>
      <c r="H203" s="11" t="n"/>
      <c r="I203" s="34" t="n"/>
      <c r="J203" s="11" t="n"/>
      <c r="K203" s="11" t="n"/>
    </row>
    <row r="204" ht="18" customHeight="1" s="42">
      <c r="A204" s="19" t="n"/>
      <c r="B204" s="19" t="n"/>
      <c r="C204" s="19" t="n"/>
      <c r="D204" s="19" t="n"/>
      <c r="E204" s="19" t="n"/>
      <c r="F204" s="19" t="n"/>
      <c r="G204" s="19" t="n"/>
      <c r="H204" s="19" t="n"/>
      <c r="I204" s="33" t="n"/>
      <c r="J204" s="19" t="n"/>
      <c r="K204" s="19" t="n"/>
    </row>
    <row r="205" ht="18" customHeight="1" s="42">
      <c r="A205" s="11" t="n"/>
      <c r="B205" s="11" t="n"/>
      <c r="C205" s="11" t="n"/>
      <c r="D205" s="11" t="n"/>
      <c r="E205" s="11" t="n"/>
      <c r="F205" s="11" t="n"/>
      <c r="G205" s="11" t="n"/>
      <c r="H205" s="11" t="n"/>
      <c r="I205" s="34" t="n"/>
      <c r="J205" s="11" t="n"/>
      <c r="K205" s="11" t="n"/>
    </row>
    <row r="206" ht="18" customHeight="1" s="42">
      <c r="A206" s="19" t="n"/>
      <c r="B206" s="19" t="n"/>
      <c r="C206" s="19" t="n"/>
      <c r="D206" s="19" t="n"/>
      <c r="E206" s="19" t="n"/>
      <c r="F206" s="19" t="n"/>
      <c r="G206" s="19" t="n"/>
      <c r="H206" s="19" t="n"/>
      <c r="I206" s="33" t="n"/>
      <c r="J206" s="19" t="n"/>
      <c r="K206" s="19" t="n"/>
    </row>
    <row r="207" ht="18" customHeight="1" s="42">
      <c r="A207" s="11" t="n"/>
      <c r="B207" s="11" t="n"/>
      <c r="C207" s="11" t="n"/>
      <c r="D207" s="11" t="n"/>
      <c r="E207" s="11" t="n"/>
      <c r="F207" s="11" t="n"/>
      <c r="G207" s="11" t="n"/>
      <c r="H207" s="11" t="n"/>
      <c r="I207" s="34" t="n"/>
      <c r="J207" s="11" t="n"/>
      <c r="K207" s="11" t="n"/>
    </row>
    <row r="208" ht="18" customHeight="1" s="42">
      <c r="A208" s="19" t="n"/>
      <c r="B208" s="19" t="n"/>
      <c r="C208" s="19" t="n"/>
      <c r="D208" s="19" t="n"/>
      <c r="E208" s="19" t="n"/>
      <c r="F208" s="19" t="n"/>
      <c r="G208" s="19" t="n"/>
      <c r="H208" s="19" t="n"/>
      <c r="I208" s="33" t="n"/>
      <c r="J208" s="19" t="n"/>
      <c r="K208" s="19" t="n"/>
    </row>
    <row r="209" ht="18" customHeight="1" s="42">
      <c r="A209" s="11" t="n"/>
      <c r="B209" s="11" t="n"/>
      <c r="C209" s="11" t="n"/>
      <c r="D209" s="11" t="n"/>
      <c r="E209" s="11" t="n"/>
      <c r="F209" s="11" t="n"/>
      <c r="G209" s="11" t="n"/>
      <c r="H209" s="11" t="n"/>
      <c r="I209" s="34" t="n"/>
      <c r="J209" s="11" t="n"/>
      <c r="K209" s="11" t="n"/>
    </row>
    <row r="210" ht="18" customHeight="1" s="42">
      <c r="A210" s="19" t="n"/>
      <c r="B210" s="19" t="n"/>
      <c r="C210" s="19" t="n"/>
      <c r="D210" s="19" t="n"/>
      <c r="E210" s="19" t="n"/>
      <c r="F210" s="19" t="n"/>
      <c r="G210" s="19" t="n"/>
      <c r="H210" s="19" t="n"/>
      <c r="I210" s="33" t="n"/>
      <c r="J210" s="19" t="n"/>
      <c r="K210" s="19" t="n"/>
    </row>
    <row r="211" ht="18" customHeight="1" s="42">
      <c r="A211" s="11" t="n"/>
      <c r="B211" s="11" t="n"/>
      <c r="C211" s="11" t="n"/>
      <c r="D211" s="11" t="n"/>
      <c r="E211" s="11" t="n"/>
      <c r="F211" s="11" t="n"/>
      <c r="G211" s="11" t="n"/>
      <c r="H211" s="11" t="n"/>
      <c r="I211" s="34" t="n"/>
      <c r="J211" s="11" t="n"/>
      <c r="K211" s="11" t="n"/>
    </row>
    <row r="212" ht="18" customHeight="1" s="42">
      <c r="A212" s="19" t="n"/>
      <c r="B212" s="19" t="n"/>
      <c r="C212" s="19" t="n"/>
      <c r="D212" s="19" t="n"/>
      <c r="E212" s="19" t="n"/>
      <c r="F212" s="19" t="n"/>
      <c r="G212" s="19" t="n"/>
      <c r="H212" s="19" t="n"/>
      <c r="I212" s="33" t="n"/>
      <c r="J212" s="19" t="n"/>
      <c r="K212" s="19" t="n"/>
    </row>
    <row r="213" ht="18" customHeight="1" s="42">
      <c r="A213" s="11" t="n"/>
      <c r="B213" s="11" t="n"/>
      <c r="C213" s="11" t="n"/>
      <c r="D213" s="11" t="n"/>
      <c r="E213" s="11" t="n"/>
      <c r="F213" s="11" t="n"/>
      <c r="G213" s="11" t="n"/>
      <c r="H213" s="11" t="n"/>
      <c r="I213" s="34" t="n"/>
      <c r="J213" s="11" t="n"/>
      <c r="K213" s="11" t="n"/>
    </row>
    <row r="214" ht="18" customHeight="1" s="42">
      <c r="A214" s="19" t="n"/>
      <c r="B214" s="19" t="n"/>
      <c r="C214" s="19" t="n"/>
      <c r="D214" s="19" t="n"/>
      <c r="E214" s="19" t="n"/>
      <c r="F214" s="19" t="n"/>
      <c r="G214" s="19" t="n"/>
      <c r="H214" s="19" t="n"/>
      <c r="I214" s="33" t="n"/>
      <c r="J214" s="19" t="n"/>
      <c r="K214" s="19" t="n"/>
    </row>
    <row r="215" ht="18" customHeight="1" s="42">
      <c r="A215" s="11" t="n"/>
      <c r="B215" s="11" t="n"/>
      <c r="C215" s="11" t="n"/>
      <c r="D215" s="11" t="n"/>
      <c r="E215" s="11" t="n"/>
      <c r="F215" s="11" t="n"/>
      <c r="G215" s="11" t="n"/>
      <c r="H215" s="11" t="n"/>
      <c r="I215" s="34" t="n"/>
      <c r="J215" s="11" t="n"/>
      <c r="K215" s="11" t="n"/>
    </row>
    <row r="216" ht="18" customHeight="1" s="42">
      <c r="A216" s="19" t="n"/>
      <c r="B216" s="19" t="n"/>
      <c r="C216" s="19" t="n"/>
      <c r="D216" s="19" t="n"/>
      <c r="E216" s="19" t="n"/>
      <c r="F216" s="19" t="n"/>
      <c r="G216" s="19" t="n"/>
      <c r="H216" s="19" t="n"/>
      <c r="I216" s="33" t="n"/>
      <c r="J216" s="19" t="n"/>
      <c r="K216" s="19" t="n"/>
    </row>
    <row r="217" ht="18" customHeight="1" s="42">
      <c r="A217" s="11" t="n"/>
      <c r="B217" s="11" t="n"/>
      <c r="C217" s="11" t="n"/>
      <c r="D217" s="11" t="n"/>
      <c r="E217" s="11" t="n"/>
      <c r="F217" s="11" t="n"/>
      <c r="G217" s="11" t="n"/>
      <c r="H217" s="11" t="n"/>
      <c r="I217" s="34" t="n"/>
      <c r="J217" s="11" t="n"/>
      <c r="K217" s="11" t="n"/>
    </row>
    <row r="218" ht="18" customHeight="1" s="42">
      <c r="A218" s="19" t="n"/>
      <c r="B218" s="19" t="n"/>
      <c r="C218" s="19" t="n"/>
      <c r="D218" s="19" t="n"/>
      <c r="E218" s="19" t="n"/>
      <c r="F218" s="19" t="n"/>
      <c r="G218" s="19" t="n"/>
      <c r="H218" s="19" t="n"/>
      <c r="I218" s="33" t="n"/>
      <c r="J218" s="19" t="n"/>
      <c r="K218" s="19" t="n"/>
    </row>
    <row r="219" ht="18" customHeight="1" s="42">
      <c r="A219" s="11" t="n"/>
      <c r="B219" s="11" t="n"/>
      <c r="C219" s="11" t="n"/>
      <c r="D219" s="11" t="n"/>
      <c r="E219" s="11" t="n"/>
      <c r="F219" s="11" t="n"/>
      <c r="G219" s="11" t="n"/>
      <c r="H219" s="11" t="n"/>
      <c r="I219" s="34" t="n"/>
      <c r="J219" s="11" t="n"/>
      <c r="K219" s="11" t="n"/>
    </row>
    <row r="220" ht="18" customHeight="1" s="42">
      <c r="A220" s="19" t="n"/>
      <c r="B220" s="19" t="n"/>
      <c r="C220" s="19" t="n"/>
      <c r="D220" s="19" t="n"/>
      <c r="E220" s="19" t="n"/>
      <c r="F220" s="19" t="n"/>
      <c r="G220" s="19" t="n"/>
      <c r="H220" s="19" t="n"/>
      <c r="I220" s="33" t="n"/>
      <c r="J220" s="19" t="n"/>
      <c r="K220" s="19" t="n"/>
    </row>
    <row r="221" ht="18" customHeight="1" s="42">
      <c r="A221" s="11" t="n"/>
      <c r="B221" s="11" t="n"/>
      <c r="C221" s="11" t="n"/>
      <c r="D221" s="11" t="n"/>
      <c r="E221" s="11" t="n"/>
      <c r="F221" s="11" t="n"/>
      <c r="G221" s="11" t="n"/>
      <c r="H221" s="11" t="n"/>
      <c r="I221" s="34" t="n"/>
      <c r="J221" s="11" t="n"/>
      <c r="K221" s="11" t="n"/>
    </row>
    <row r="222" ht="18" customHeight="1" s="42">
      <c r="A222" s="19" t="n"/>
      <c r="B222" s="19" t="n"/>
      <c r="C222" s="19" t="n"/>
      <c r="D222" s="19" t="n"/>
      <c r="E222" s="19" t="n"/>
      <c r="F222" s="19" t="n"/>
      <c r="G222" s="19" t="n"/>
      <c r="H222" s="19" t="n"/>
      <c r="I222" s="33" t="n"/>
      <c r="J222" s="19" t="n"/>
      <c r="K222" s="19" t="n"/>
    </row>
    <row r="223" ht="18" customHeight="1" s="42">
      <c r="A223" s="11" t="n"/>
      <c r="B223" s="11" t="n"/>
      <c r="C223" s="11" t="n"/>
      <c r="D223" s="11" t="n"/>
      <c r="E223" s="11" t="n"/>
      <c r="F223" s="11" t="n"/>
      <c r="G223" s="11" t="n"/>
      <c r="H223" s="11" t="n"/>
      <c r="I223" s="34" t="n"/>
      <c r="J223" s="11" t="n"/>
      <c r="K223" s="11" t="n"/>
    </row>
    <row r="224" ht="18" customHeight="1" s="42">
      <c r="A224" s="19" t="n"/>
      <c r="B224" s="19" t="n"/>
      <c r="C224" s="19" t="n"/>
      <c r="D224" s="19" t="n"/>
      <c r="E224" s="19" t="n"/>
      <c r="F224" s="19" t="n"/>
      <c r="G224" s="19" t="n"/>
      <c r="H224" s="19" t="n"/>
      <c r="I224" s="33" t="n"/>
      <c r="J224" s="19" t="n"/>
      <c r="K224" s="19" t="n"/>
    </row>
    <row r="225" ht="18" customHeight="1" s="42">
      <c r="A225" s="11" t="n"/>
      <c r="B225" s="11" t="n"/>
      <c r="C225" s="11" t="n"/>
      <c r="D225" s="11" t="n"/>
      <c r="E225" s="11" t="n"/>
      <c r="F225" s="11" t="n"/>
      <c r="G225" s="11" t="n"/>
      <c r="H225" s="11" t="n"/>
      <c r="I225" s="34" t="n"/>
      <c r="J225" s="11" t="n"/>
      <c r="K225" s="11" t="n"/>
    </row>
    <row r="226" ht="18" customHeight="1" s="42">
      <c r="A226" s="19" t="n"/>
      <c r="B226" s="19" t="n"/>
      <c r="C226" s="19" t="n"/>
      <c r="D226" s="19" t="n"/>
      <c r="E226" s="19" t="n"/>
      <c r="F226" s="19" t="n"/>
      <c r="G226" s="19" t="n"/>
      <c r="H226" s="19" t="n"/>
      <c r="I226" s="33" t="n"/>
      <c r="J226" s="19" t="n"/>
      <c r="K226" s="19" t="n"/>
    </row>
    <row r="227" ht="18" customHeight="1" s="42">
      <c r="A227" s="11" t="n"/>
      <c r="B227" s="11" t="n"/>
      <c r="C227" s="11" t="n"/>
      <c r="D227" s="11" t="n"/>
      <c r="E227" s="11" t="n"/>
      <c r="F227" s="11" t="n"/>
      <c r="G227" s="11" t="n"/>
      <c r="H227" s="11" t="n"/>
      <c r="I227" s="34" t="n"/>
      <c r="J227" s="11" t="n"/>
      <c r="K227" s="11" t="n"/>
    </row>
    <row r="228" ht="18" customHeight="1" s="42">
      <c r="A228" s="19" t="n"/>
      <c r="B228" s="19" t="n"/>
      <c r="C228" s="19" t="n"/>
      <c r="D228" s="19" t="n"/>
      <c r="E228" s="19" t="n"/>
      <c r="F228" s="19" t="n"/>
      <c r="G228" s="19" t="n"/>
      <c r="H228" s="19" t="n"/>
      <c r="I228" s="33" t="n"/>
      <c r="J228" s="19" t="n"/>
      <c r="K228" s="19" t="n"/>
    </row>
    <row r="229" ht="18" customHeight="1" s="42">
      <c r="A229" s="11" t="n"/>
      <c r="B229" s="11" t="n"/>
      <c r="C229" s="11" t="n"/>
      <c r="D229" s="11" t="n"/>
      <c r="E229" s="11" t="n"/>
      <c r="F229" s="11" t="n"/>
      <c r="G229" s="11" t="n"/>
      <c r="H229" s="11" t="n"/>
      <c r="I229" s="34" t="n"/>
      <c r="J229" s="11" t="n"/>
      <c r="K229" s="11" t="n"/>
    </row>
    <row r="230" ht="18" customHeight="1" s="42">
      <c r="A230" s="19" t="n"/>
      <c r="B230" s="19" t="n"/>
      <c r="C230" s="19" t="n"/>
      <c r="D230" s="19" t="n"/>
      <c r="E230" s="19" t="n"/>
      <c r="F230" s="19" t="n"/>
      <c r="G230" s="19" t="n"/>
      <c r="H230" s="19" t="n"/>
      <c r="I230" s="33" t="n"/>
      <c r="J230" s="19" t="n"/>
      <c r="K230" s="19" t="n"/>
    </row>
    <row r="231" ht="18" customHeight="1" s="42">
      <c r="A231" s="11" t="n"/>
      <c r="B231" s="11" t="n"/>
      <c r="C231" s="11" t="n"/>
      <c r="D231" s="11" t="n"/>
      <c r="E231" s="11" t="n"/>
      <c r="F231" s="11" t="n"/>
      <c r="G231" s="11" t="n"/>
      <c r="H231" s="11" t="n"/>
      <c r="I231" s="34" t="n"/>
      <c r="J231" s="11" t="n"/>
      <c r="K231" s="11" t="n"/>
    </row>
    <row r="232" ht="18" customHeight="1" s="42">
      <c r="A232" s="19" t="n"/>
      <c r="B232" s="19" t="n"/>
      <c r="C232" s="19" t="n"/>
      <c r="D232" s="19" t="n"/>
      <c r="E232" s="19" t="n"/>
      <c r="F232" s="19" t="n"/>
      <c r="G232" s="19" t="n"/>
      <c r="H232" s="19" t="n"/>
      <c r="I232" s="33" t="n"/>
      <c r="J232" s="19" t="n"/>
      <c r="K232" s="19" t="n"/>
    </row>
    <row r="233" ht="18" customHeight="1" s="42">
      <c r="A233" s="11" t="n"/>
      <c r="B233" s="11" t="n"/>
      <c r="C233" s="11" t="n"/>
      <c r="D233" s="11" t="n"/>
      <c r="E233" s="11" t="n"/>
      <c r="F233" s="11" t="n"/>
      <c r="G233" s="11" t="n"/>
      <c r="H233" s="11" t="n"/>
      <c r="I233" s="34" t="n"/>
      <c r="J233" s="11" t="n"/>
      <c r="K233" s="11" t="n"/>
    </row>
    <row r="234" ht="18" customHeight="1" s="42">
      <c r="A234" s="19" t="n"/>
      <c r="B234" s="19" t="n"/>
      <c r="C234" s="19" t="n"/>
      <c r="D234" s="19" t="n"/>
      <c r="E234" s="19" t="n"/>
      <c r="F234" s="19" t="n"/>
      <c r="G234" s="19" t="n"/>
      <c r="H234" s="19" t="n"/>
      <c r="I234" s="33" t="n"/>
      <c r="J234" s="19" t="n"/>
      <c r="K234" s="19" t="n"/>
    </row>
    <row r="235" ht="18" customHeight="1" s="42">
      <c r="A235" s="11" t="n"/>
      <c r="B235" s="11" t="n"/>
      <c r="C235" s="11" t="n"/>
      <c r="D235" s="11" t="n"/>
      <c r="E235" s="11" t="n"/>
      <c r="F235" s="11" t="n"/>
      <c r="G235" s="11" t="n"/>
      <c r="H235" s="11" t="n"/>
      <c r="I235" s="34" t="n"/>
      <c r="J235" s="11" t="n"/>
      <c r="K235" s="11" t="n"/>
    </row>
    <row r="236" ht="18" customHeight="1" s="42">
      <c r="A236" s="19" t="n"/>
      <c r="B236" s="19" t="n"/>
      <c r="C236" s="19" t="n"/>
      <c r="D236" s="19" t="n"/>
      <c r="E236" s="19" t="n"/>
      <c r="F236" s="19" t="n"/>
      <c r="G236" s="19" t="n"/>
      <c r="H236" s="19" t="n"/>
      <c r="I236" s="33" t="n"/>
      <c r="J236" s="19" t="n"/>
      <c r="K236" s="19" t="n"/>
    </row>
    <row r="237" ht="18" customHeight="1" s="42">
      <c r="A237" s="11" t="n"/>
      <c r="B237" s="11" t="n"/>
      <c r="C237" s="11" t="n"/>
      <c r="D237" s="11" t="n"/>
      <c r="E237" s="11" t="n"/>
      <c r="F237" s="11" t="n"/>
      <c r="G237" s="11" t="n"/>
      <c r="H237" s="11" t="n"/>
      <c r="I237" s="34" t="n"/>
      <c r="J237" s="11" t="n"/>
      <c r="K237" s="11" t="n"/>
    </row>
    <row r="238" ht="18" customHeight="1" s="42">
      <c r="A238" s="19" t="n"/>
      <c r="B238" s="19" t="n"/>
      <c r="C238" s="19" t="n"/>
      <c r="D238" s="19" t="n"/>
      <c r="E238" s="19" t="n"/>
      <c r="F238" s="19" t="n"/>
      <c r="G238" s="19" t="n"/>
      <c r="H238" s="19" t="n"/>
      <c r="I238" s="33" t="n"/>
      <c r="J238" s="19" t="n"/>
      <c r="K238" s="19" t="n"/>
    </row>
    <row r="239" ht="18" customHeight="1" s="42">
      <c r="A239" s="11" t="n"/>
      <c r="B239" s="11" t="n"/>
      <c r="C239" s="11" t="n"/>
      <c r="D239" s="11" t="n"/>
      <c r="E239" s="11" t="n"/>
      <c r="F239" s="11" t="n"/>
      <c r="G239" s="11" t="n"/>
      <c r="H239" s="11" t="n"/>
      <c r="I239" s="34" t="n"/>
      <c r="J239" s="11" t="n"/>
      <c r="K239" s="11" t="n"/>
    </row>
    <row r="240" ht="18" customHeight="1" s="42">
      <c r="A240" s="19" t="n"/>
      <c r="B240" s="19" t="n"/>
      <c r="C240" s="19" t="n"/>
      <c r="D240" s="19" t="n"/>
      <c r="E240" s="19" t="n"/>
      <c r="F240" s="19" t="n"/>
      <c r="G240" s="19" t="n"/>
      <c r="H240" s="19" t="n"/>
      <c r="I240" s="33" t="n"/>
      <c r="J240" s="19" t="n"/>
      <c r="K240" s="19" t="n"/>
    </row>
    <row r="241" ht="18" customHeight="1" s="42">
      <c r="A241" s="11" t="n"/>
      <c r="B241" s="11" t="n"/>
      <c r="C241" s="11" t="n"/>
      <c r="D241" s="11" t="n"/>
      <c r="E241" s="11" t="n"/>
      <c r="F241" s="11" t="n"/>
      <c r="G241" s="11" t="n"/>
      <c r="H241" s="11" t="n"/>
      <c r="I241" s="34" t="n"/>
      <c r="J241" s="11" t="n"/>
      <c r="K241" s="11" t="n"/>
    </row>
    <row r="242" ht="18" customHeight="1" s="42">
      <c r="A242" s="19" t="n"/>
      <c r="B242" s="19" t="n"/>
      <c r="C242" s="19" t="n"/>
      <c r="D242" s="19" t="n"/>
      <c r="E242" s="19" t="n"/>
      <c r="F242" s="19" t="n"/>
      <c r="G242" s="19" t="n"/>
      <c r="H242" s="19" t="n"/>
      <c r="I242" s="33" t="n"/>
      <c r="J242" s="19" t="n"/>
      <c r="K242" s="19" t="n"/>
    </row>
    <row r="243" ht="18" customHeight="1" s="42">
      <c r="A243" s="11" t="n"/>
      <c r="B243" s="11" t="n"/>
      <c r="C243" s="11" t="n"/>
      <c r="D243" s="11" t="n"/>
      <c r="E243" s="11" t="n"/>
      <c r="F243" s="11" t="n"/>
      <c r="G243" s="11" t="n"/>
      <c r="H243" s="11" t="n"/>
      <c r="I243" s="34" t="n"/>
      <c r="J243" s="11" t="n"/>
      <c r="K243" s="11" t="n"/>
    </row>
    <row r="244" ht="18" customHeight="1" s="42">
      <c r="A244" s="19" t="n"/>
      <c r="B244" s="19" t="n"/>
      <c r="C244" s="19" t="n"/>
      <c r="D244" s="19" t="n"/>
      <c r="E244" s="19" t="n"/>
      <c r="F244" s="19" t="n"/>
      <c r="G244" s="19" t="n"/>
      <c r="H244" s="19" t="n"/>
      <c r="I244" s="33" t="n"/>
      <c r="J244" s="19" t="n"/>
      <c r="K244" s="19" t="n"/>
    </row>
    <row r="245" ht="18" customHeight="1" s="42">
      <c r="A245" s="11" t="n"/>
      <c r="B245" s="11" t="n"/>
      <c r="C245" s="11" t="n"/>
      <c r="D245" s="11" t="n"/>
      <c r="E245" s="11" t="n"/>
      <c r="F245" s="11" t="n"/>
      <c r="G245" s="11" t="n"/>
      <c r="H245" s="11" t="n"/>
      <c r="I245" s="34" t="n"/>
      <c r="J245" s="11" t="n"/>
      <c r="K245" s="11" t="n"/>
    </row>
    <row r="246" ht="18" customHeight="1" s="42">
      <c r="A246" s="19" t="n"/>
      <c r="B246" s="19" t="n"/>
      <c r="C246" s="19" t="n"/>
      <c r="D246" s="19" t="n"/>
      <c r="E246" s="19" t="n"/>
      <c r="F246" s="19" t="n"/>
      <c r="G246" s="19" t="n"/>
      <c r="H246" s="19" t="n"/>
      <c r="I246" s="33" t="n"/>
      <c r="J246" s="19" t="n"/>
      <c r="K246" s="19" t="n"/>
    </row>
    <row r="247" ht="18" customHeight="1" s="42">
      <c r="A247" s="11" t="n"/>
      <c r="B247" s="11" t="n"/>
      <c r="C247" s="11" t="n"/>
      <c r="D247" s="11" t="n"/>
      <c r="E247" s="11" t="n"/>
      <c r="F247" s="11" t="n"/>
      <c r="G247" s="11" t="n"/>
      <c r="H247" s="11" t="n"/>
      <c r="I247" s="34" t="n"/>
      <c r="J247" s="11" t="n"/>
      <c r="K247" s="11" t="n"/>
    </row>
    <row r="248" ht="18" customHeight="1" s="42">
      <c r="A248" s="19" t="n"/>
      <c r="B248" s="19" t="n"/>
      <c r="C248" s="19" t="n"/>
      <c r="D248" s="19" t="n"/>
      <c r="E248" s="19" t="n"/>
      <c r="F248" s="19" t="n"/>
      <c r="G248" s="19" t="n"/>
      <c r="H248" s="19" t="n"/>
      <c r="I248" s="33" t="n"/>
      <c r="J248" s="19" t="n"/>
      <c r="K248" s="19" t="n"/>
    </row>
    <row r="249" ht="18" customHeight="1" s="42">
      <c r="A249" s="11" t="n"/>
      <c r="B249" s="11" t="n"/>
      <c r="C249" s="11" t="n"/>
      <c r="D249" s="11" t="n"/>
      <c r="E249" s="11" t="n"/>
      <c r="F249" s="11" t="n"/>
      <c r="G249" s="11" t="n"/>
      <c r="H249" s="11" t="n"/>
      <c r="I249" s="34" t="n"/>
      <c r="J249" s="11" t="n"/>
      <c r="K249" s="11" t="n"/>
    </row>
    <row r="250" ht="18" customHeight="1" s="42">
      <c r="A250" s="19" t="n"/>
      <c r="B250" s="19" t="n"/>
      <c r="C250" s="19" t="n"/>
      <c r="D250" s="19" t="n"/>
      <c r="E250" s="19" t="n"/>
      <c r="F250" s="19" t="n"/>
      <c r="G250" s="19" t="n"/>
      <c r="H250" s="19" t="n"/>
      <c r="I250" s="33" t="n"/>
      <c r="J250" s="19" t="n"/>
      <c r="K250" s="19" t="n"/>
    </row>
    <row r="251" ht="18" customHeight="1" s="42">
      <c r="A251" s="11" t="n"/>
      <c r="B251" s="11" t="n"/>
      <c r="C251" s="11" t="n"/>
      <c r="D251" s="11" t="n"/>
      <c r="E251" s="11" t="n"/>
      <c r="F251" s="11" t="n"/>
      <c r="G251" s="11" t="n"/>
      <c r="H251" s="11" t="n"/>
      <c r="I251" s="34" t="n"/>
      <c r="J251" s="11" t="n"/>
      <c r="K251" s="11" t="n"/>
    </row>
    <row r="252" ht="18" customHeight="1" s="42">
      <c r="A252" s="19" t="n"/>
      <c r="B252" s="19" t="n"/>
      <c r="C252" s="19" t="n"/>
      <c r="D252" s="19" t="n"/>
      <c r="E252" s="19" t="n"/>
      <c r="F252" s="19" t="n"/>
      <c r="G252" s="19" t="n"/>
      <c r="H252" s="19" t="n"/>
      <c r="I252" s="33" t="n"/>
      <c r="J252" s="19" t="n"/>
      <c r="K252" s="19" t="n"/>
    </row>
    <row r="253" ht="18" customHeight="1" s="42">
      <c r="A253" s="11" t="n"/>
      <c r="B253" s="11" t="n"/>
      <c r="C253" s="11" t="n"/>
      <c r="D253" s="11" t="n"/>
      <c r="E253" s="11" t="n"/>
      <c r="F253" s="11" t="n"/>
      <c r="G253" s="11" t="n"/>
      <c r="H253" s="11" t="n"/>
      <c r="I253" s="34" t="n"/>
      <c r="J253" s="11" t="n"/>
      <c r="K253" s="11" t="n"/>
    </row>
    <row r="254" ht="18" customHeight="1" s="42">
      <c r="A254" s="19" t="n"/>
      <c r="B254" s="19" t="n"/>
      <c r="C254" s="19" t="n"/>
      <c r="D254" s="19" t="n"/>
      <c r="E254" s="19" t="n"/>
      <c r="F254" s="19" t="n"/>
      <c r="G254" s="19" t="n"/>
      <c r="H254" s="19" t="n"/>
      <c r="I254" s="33" t="n"/>
      <c r="J254" s="19" t="n"/>
      <c r="K254" s="19" t="n"/>
    </row>
    <row r="255" ht="18" customHeight="1" s="42">
      <c r="A255" s="11" t="n"/>
      <c r="B255" s="11" t="n"/>
      <c r="C255" s="11" t="n"/>
      <c r="D255" s="11" t="n"/>
      <c r="E255" s="11" t="n"/>
      <c r="F255" s="11" t="n"/>
      <c r="G255" s="11" t="n"/>
      <c r="H255" s="11" t="n"/>
      <c r="I255" s="34" t="n"/>
      <c r="J255" s="11" t="n"/>
      <c r="K255" s="11" t="n"/>
    </row>
    <row r="256" ht="18" customHeight="1" s="42">
      <c r="A256" s="19" t="n"/>
      <c r="B256" s="19" t="n"/>
      <c r="C256" s="19" t="n"/>
      <c r="D256" s="19" t="n"/>
      <c r="E256" s="19" t="n"/>
      <c r="F256" s="19" t="n"/>
      <c r="G256" s="19" t="n"/>
      <c r="H256" s="19" t="n"/>
      <c r="I256" s="33" t="n"/>
      <c r="J256" s="19" t="n"/>
      <c r="K256" s="19" t="n"/>
    </row>
    <row r="257" ht="18" customHeight="1" s="42">
      <c r="A257" s="11" t="n"/>
      <c r="B257" s="11" t="n"/>
      <c r="C257" s="11" t="n"/>
      <c r="D257" s="11" t="n"/>
      <c r="E257" s="11" t="n"/>
      <c r="F257" s="11" t="n"/>
      <c r="G257" s="11" t="n"/>
      <c r="H257" s="11" t="n"/>
      <c r="I257" s="34" t="n"/>
      <c r="J257" s="11" t="n"/>
      <c r="K257" s="11" t="n"/>
    </row>
    <row r="258" ht="18" customHeight="1" s="42">
      <c r="A258" s="19" t="n"/>
      <c r="B258" s="19" t="n"/>
      <c r="C258" s="19" t="n"/>
      <c r="D258" s="19" t="n"/>
      <c r="E258" s="19" t="n"/>
      <c r="F258" s="19" t="n"/>
      <c r="G258" s="19" t="n"/>
      <c r="H258" s="19" t="n"/>
      <c r="I258" s="33" t="n"/>
      <c r="J258" s="19" t="n"/>
      <c r="K258" s="19" t="n"/>
    </row>
    <row r="259" ht="18" customHeight="1" s="42">
      <c r="A259" s="11" t="n"/>
      <c r="B259" s="11" t="n"/>
      <c r="C259" s="11" t="n"/>
      <c r="D259" s="11" t="n"/>
      <c r="E259" s="11" t="n"/>
      <c r="F259" s="11" t="n"/>
      <c r="G259" s="11" t="n"/>
      <c r="H259" s="11" t="n"/>
      <c r="I259" s="34" t="n"/>
      <c r="J259" s="11" t="n"/>
      <c r="K259" s="11" t="n"/>
    </row>
    <row r="260" ht="18" customHeight="1" s="42">
      <c r="A260" s="19" t="n"/>
      <c r="B260" s="19" t="n"/>
      <c r="C260" s="19" t="n"/>
      <c r="D260" s="19" t="n"/>
      <c r="E260" s="19" t="n"/>
      <c r="F260" s="19" t="n"/>
      <c r="G260" s="19" t="n"/>
      <c r="H260" s="19" t="n"/>
      <c r="I260" s="33" t="n"/>
      <c r="J260" s="19" t="n"/>
      <c r="K260" s="19" t="n"/>
    </row>
    <row r="261" ht="18" customHeight="1" s="42">
      <c r="A261" s="11" t="n"/>
      <c r="B261" s="11" t="n"/>
      <c r="C261" s="11" t="n"/>
      <c r="D261" s="11" t="n"/>
      <c r="E261" s="11" t="n"/>
      <c r="F261" s="11" t="n"/>
      <c r="G261" s="11" t="n"/>
      <c r="H261" s="11" t="n"/>
      <c r="I261" s="34" t="n"/>
      <c r="J261" s="11" t="n"/>
      <c r="K261" s="11" t="n"/>
    </row>
    <row r="262" ht="18" customHeight="1" s="42">
      <c r="A262" s="19" t="n"/>
      <c r="B262" s="19" t="n"/>
      <c r="C262" s="19" t="n"/>
      <c r="D262" s="19" t="n"/>
      <c r="E262" s="19" t="n"/>
      <c r="F262" s="19" t="n"/>
      <c r="G262" s="19" t="n"/>
      <c r="H262" s="19" t="n"/>
      <c r="I262" s="33" t="n"/>
      <c r="J262" s="19" t="n"/>
      <c r="K262" s="19" t="n"/>
    </row>
    <row r="263" ht="18" customHeight="1" s="42">
      <c r="A263" s="11" t="n"/>
      <c r="B263" s="11" t="n"/>
      <c r="C263" s="11" t="n"/>
      <c r="D263" s="11" t="n"/>
      <c r="E263" s="11" t="n"/>
      <c r="F263" s="11" t="n"/>
      <c r="G263" s="11" t="n"/>
      <c r="H263" s="11" t="n"/>
      <c r="I263" s="34" t="n"/>
      <c r="J263" s="11" t="n"/>
      <c r="K263" s="11" t="n"/>
    </row>
    <row r="264" ht="18" customHeight="1" s="42">
      <c r="A264" s="19" t="n"/>
      <c r="B264" s="19" t="n"/>
      <c r="C264" s="19" t="n"/>
      <c r="D264" s="19" t="n"/>
      <c r="E264" s="19" t="n"/>
      <c r="F264" s="19" t="n"/>
      <c r="G264" s="19" t="n"/>
      <c r="H264" s="19" t="n"/>
      <c r="I264" s="33" t="n"/>
      <c r="J264" s="19" t="n"/>
      <c r="K264" s="19" t="n"/>
    </row>
    <row r="265" ht="18" customHeight="1" s="42">
      <c r="A265" s="11" t="n"/>
      <c r="B265" s="11" t="n"/>
      <c r="C265" s="11" t="n"/>
      <c r="D265" s="11" t="n"/>
      <c r="E265" s="11" t="n"/>
      <c r="F265" s="11" t="n"/>
      <c r="G265" s="11" t="n"/>
      <c r="H265" s="11" t="n"/>
      <c r="I265" s="34" t="n"/>
      <c r="J265" s="11" t="n"/>
      <c r="K265" s="11" t="n"/>
    </row>
    <row r="266" ht="18" customHeight="1" s="42">
      <c r="A266" s="19" t="n"/>
      <c r="B266" s="19" t="n"/>
      <c r="C266" s="19" t="n"/>
      <c r="D266" s="19" t="n"/>
      <c r="E266" s="19" t="n"/>
      <c r="F266" s="19" t="n"/>
      <c r="G266" s="19" t="n"/>
      <c r="H266" s="19" t="n"/>
      <c r="I266" s="33" t="n"/>
      <c r="J266" s="19" t="n"/>
      <c r="K266" s="19" t="n"/>
    </row>
    <row r="267" ht="18" customHeight="1" s="42">
      <c r="A267" s="11" t="n"/>
      <c r="B267" s="11" t="n"/>
      <c r="C267" s="11" t="n"/>
      <c r="D267" s="11" t="n"/>
      <c r="E267" s="11" t="n"/>
      <c r="F267" s="11" t="n"/>
      <c r="G267" s="11" t="n"/>
      <c r="H267" s="11" t="n"/>
      <c r="I267" s="34" t="n"/>
      <c r="J267" s="11" t="n"/>
      <c r="K267" s="11" t="n"/>
    </row>
    <row r="268" ht="18" customHeight="1" s="42">
      <c r="A268" s="19" t="n"/>
      <c r="B268" s="19" t="n"/>
      <c r="C268" s="19" t="n"/>
      <c r="D268" s="19" t="n"/>
      <c r="E268" s="19" t="n"/>
      <c r="F268" s="19" t="n"/>
      <c r="G268" s="19" t="n"/>
      <c r="H268" s="19" t="n"/>
      <c r="I268" s="33" t="n"/>
      <c r="J268" s="19" t="n"/>
      <c r="K268" s="19" t="n"/>
    </row>
    <row r="269" ht="18" customHeight="1" s="42">
      <c r="A269" s="11" t="n"/>
      <c r="B269" s="11" t="n"/>
      <c r="C269" s="11" t="n"/>
      <c r="D269" s="11" t="n"/>
      <c r="E269" s="11" t="n"/>
      <c r="F269" s="11" t="n"/>
      <c r="G269" s="11" t="n"/>
      <c r="H269" s="11" t="n"/>
      <c r="I269" s="34" t="n"/>
      <c r="J269" s="11" t="n"/>
      <c r="K269" s="11" t="n"/>
    </row>
    <row r="270" ht="18" customHeight="1" s="42">
      <c r="A270" s="19" t="n"/>
      <c r="B270" s="19" t="n"/>
      <c r="C270" s="19" t="n"/>
      <c r="D270" s="19" t="n"/>
      <c r="E270" s="19" t="n"/>
      <c r="F270" s="19" t="n"/>
      <c r="G270" s="19" t="n"/>
      <c r="H270" s="19" t="n"/>
      <c r="I270" s="33" t="n"/>
      <c r="J270" s="19" t="n"/>
      <c r="K270" s="19" t="n"/>
    </row>
    <row r="271" ht="18" customHeight="1" s="42">
      <c r="A271" s="11" t="n"/>
      <c r="B271" s="11" t="n"/>
      <c r="C271" s="11" t="n"/>
      <c r="D271" s="11" t="n"/>
      <c r="E271" s="11" t="n"/>
      <c r="F271" s="11" t="n"/>
      <c r="G271" s="11" t="n"/>
      <c r="H271" s="11" t="n"/>
      <c r="I271" s="34" t="n"/>
      <c r="J271" s="11" t="n"/>
      <c r="K271" s="11" t="n"/>
    </row>
    <row r="272" ht="18" customHeight="1" s="42">
      <c r="A272" s="19" t="n"/>
      <c r="B272" s="19" t="n"/>
      <c r="C272" s="19" t="n"/>
      <c r="D272" s="19" t="n"/>
      <c r="E272" s="19" t="n"/>
      <c r="F272" s="19" t="n"/>
      <c r="G272" s="19" t="n"/>
      <c r="H272" s="19" t="n"/>
      <c r="I272" s="33" t="n"/>
      <c r="J272" s="19" t="n"/>
      <c r="K272" s="19" t="n"/>
    </row>
    <row r="273" ht="18" customHeight="1" s="42">
      <c r="A273" s="11" t="n"/>
      <c r="B273" s="11" t="n"/>
      <c r="C273" s="11" t="n"/>
      <c r="D273" s="11" t="n"/>
      <c r="E273" s="11" t="n"/>
      <c r="F273" s="11" t="n"/>
      <c r="G273" s="11" t="n"/>
      <c r="H273" s="11" t="n"/>
      <c r="I273" s="34" t="n"/>
      <c r="J273" s="11" t="n"/>
      <c r="K273" s="11" t="n"/>
    </row>
    <row r="274" ht="18" customHeight="1" s="42">
      <c r="A274" s="19" t="n"/>
      <c r="B274" s="19" t="n"/>
      <c r="C274" s="19" t="n"/>
      <c r="D274" s="19" t="n"/>
      <c r="E274" s="19" t="n"/>
      <c r="F274" s="19" t="n"/>
      <c r="G274" s="19" t="n"/>
      <c r="H274" s="19" t="n"/>
      <c r="I274" s="33" t="n"/>
      <c r="J274" s="19" t="n"/>
      <c r="K274" s="19" t="n"/>
    </row>
    <row r="275" ht="18" customHeight="1" s="42">
      <c r="A275" s="11" t="n"/>
      <c r="B275" s="11" t="n"/>
      <c r="C275" s="11" t="n"/>
      <c r="D275" s="11" t="n"/>
      <c r="E275" s="11" t="n"/>
      <c r="F275" s="11" t="n"/>
      <c r="G275" s="11" t="n"/>
      <c r="H275" s="11" t="n"/>
      <c r="I275" s="34" t="n"/>
      <c r="J275" s="11" t="n"/>
      <c r="K275" s="11" t="n"/>
    </row>
    <row r="276" ht="18" customHeight="1" s="42">
      <c r="A276" s="19" t="n"/>
      <c r="B276" s="19" t="n"/>
      <c r="C276" s="19" t="n"/>
      <c r="D276" s="19" t="n"/>
      <c r="E276" s="19" t="n"/>
      <c r="F276" s="19" t="n"/>
      <c r="G276" s="19" t="n"/>
      <c r="H276" s="19" t="n"/>
      <c r="I276" s="33" t="n"/>
      <c r="J276" s="19" t="n"/>
      <c r="K276" s="19" t="n"/>
    </row>
    <row r="277" ht="18" customHeight="1" s="42">
      <c r="A277" s="11" t="n"/>
      <c r="B277" s="11" t="n"/>
      <c r="C277" s="11" t="n"/>
      <c r="D277" s="11" t="n"/>
      <c r="E277" s="11" t="n"/>
      <c r="F277" s="11" t="n"/>
      <c r="G277" s="11" t="n"/>
      <c r="H277" s="11" t="n"/>
      <c r="I277" s="34" t="n"/>
      <c r="J277" s="11" t="n"/>
      <c r="K277" s="11" t="n"/>
    </row>
    <row r="278" ht="18" customHeight="1" s="42">
      <c r="A278" s="19" t="n"/>
      <c r="B278" s="19" t="n"/>
      <c r="C278" s="19" t="n"/>
      <c r="D278" s="19" t="n"/>
      <c r="E278" s="19" t="n"/>
      <c r="F278" s="19" t="n"/>
      <c r="G278" s="19" t="n"/>
      <c r="H278" s="19" t="n"/>
      <c r="I278" s="33" t="n"/>
      <c r="J278" s="19" t="n"/>
      <c r="K278" s="19" t="n"/>
    </row>
    <row r="279" ht="18" customHeight="1" s="42">
      <c r="A279" s="11" t="n"/>
      <c r="B279" s="11" t="n"/>
      <c r="C279" s="11" t="n"/>
      <c r="D279" s="11" t="n"/>
      <c r="E279" s="11" t="n"/>
      <c r="F279" s="11" t="n"/>
      <c r="G279" s="11" t="n"/>
      <c r="H279" s="11" t="n"/>
      <c r="I279" s="34" t="n"/>
      <c r="J279" s="11" t="n"/>
      <c r="K279" s="11" t="n"/>
    </row>
    <row r="280" ht="18" customHeight="1" s="42">
      <c r="A280" s="19" t="n"/>
      <c r="B280" s="19" t="n"/>
      <c r="C280" s="19" t="n"/>
      <c r="D280" s="19" t="n"/>
      <c r="E280" s="19" t="n"/>
      <c r="F280" s="19" t="n"/>
      <c r="G280" s="19" t="n"/>
      <c r="H280" s="19" t="n"/>
      <c r="I280" s="33" t="n"/>
      <c r="J280" s="19" t="n"/>
      <c r="K280" s="19" t="n"/>
    </row>
    <row r="281" ht="18" customHeight="1" s="42">
      <c r="A281" s="11" t="n"/>
      <c r="B281" s="11" t="n"/>
      <c r="C281" s="11" t="n"/>
      <c r="D281" s="11" t="n"/>
      <c r="E281" s="11" t="n"/>
      <c r="F281" s="11" t="n"/>
      <c r="G281" s="11" t="n"/>
      <c r="H281" s="11" t="n"/>
      <c r="I281" s="34" t="n"/>
      <c r="J281" s="11" t="n"/>
      <c r="K281" s="11" t="n"/>
    </row>
    <row r="282" ht="18" customHeight="1" s="42">
      <c r="A282" s="19" t="n"/>
      <c r="B282" s="19" t="n"/>
      <c r="C282" s="19" t="n"/>
      <c r="D282" s="19" t="n"/>
      <c r="E282" s="19" t="n"/>
      <c r="F282" s="19" t="n"/>
      <c r="G282" s="19" t="n"/>
      <c r="H282" s="19" t="n"/>
      <c r="I282" s="33" t="n"/>
      <c r="J282" s="19" t="n"/>
      <c r="K282" s="19" t="n"/>
    </row>
    <row r="283" ht="18" customHeight="1" s="42">
      <c r="A283" s="11" t="n"/>
      <c r="B283" s="11" t="n"/>
      <c r="C283" s="11" t="n"/>
      <c r="D283" s="11" t="n"/>
      <c r="E283" s="11" t="n"/>
      <c r="F283" s="11" t="n"/>
      <c r="G283" s="11" t="n"/>
      <c r="H283" s="11" t="n"/>
      <c r="I283" s="34" t="n"/>
      <c r="J283" s="11" t="n"/>
      <c r="K283" s="11" t="n"/>
    </row>
    <row r="284" ht="18" customHeight="1" s="42">
      <c r="A284" s="19" t="n"/>
      <c r="B284" s="19" t="n"/>
      <c r="C284" s="19" t="n"/>
      <c r="D284" s="19" t="n"/>
      <c r="E284" s="19" t="n"/>
      <c r="F284" s="19" t="n"/>
      <c r="G284" s="19" t="n"/>
      <c r="H284" s="19" t="n"/>
      <c r="I284" s="33" t="n"/>
      <c r="J284" s="19" t="n"/>
      <c r="K284" s="19" t="n"/>
    </row>
    <row r="285" ht="18" customHeight="1" s="42">
      <c r="A285" s="11" t="n"/>
      <c r="B285" s="11" t="n"/>
      <c r="C285" s="11" t="n"/>
      <c r="D285" s="11" t="n"/>
      <c r="E285" s="11" t="n"/>
      <c r="F285" s="11" t="n"/>
      <c r="G285" s="11" t="n"/>
      <c r="H285" s="11" t="n"/>
      <c r="I285" s="34" t="n"/>
      <c r="J285" s="11" t="n"/>
      <c r="K285" s="11" t="n"/>
    </row>
    <row r="286" ht="18" customHeight="1" s="42">
      <c r="A286" s="19" t="n"/>
      <c r="B286" s="19" t="n"/>
      <c r="C286" s="19" t="n"/>
      <c r="D286" s="19" t="n"/>
      <c r="E286" s="19" t="n"/>
      <c r="F286" s="19" t="n"/>
      <c r="G286" s="19" t="n"/>
      <c r="H286" s="19" t="n"/>
      <c r="I286" s="33" t="n"/>
      <c r="J286" s="19" t="n"/>
      <c r="K286" s="19" t="n"/>
    </row>
    <row r="287" ht="18" customHeight="1" s="42">
      <c r="A287" s="11" t="n"/>
      <c r="B287" s="11" t="n"/>
      <c r="C287" s="11" t="n"/>
      <c r="D287" s="11" t="n"/>
      <c r="E287" s="11" t="n"/>
      <c r="F287" s="11" t="n"/>
      <c r="G287" s="11" t="n"/>
      <c r="H287" s="11" t="n"/>
      <c r="I287" s="34" t="n"/>
      <c r="J287" s="11" t="n"/>
      <c r="K287" s="11" t="n"/>
    </row>
    <row r="288" ht="18" customHeight="1" s="42">
      <c r="A288" s="19" t="n"/>
      <c r="B288" s="19" t="n"/>
      <c r="C288" s="19" t="n"/>
      <c r="D288" s="19" t="n"/>
      <c r="E288" s="19" t="n"/>
      <c r="F288" s="19" t="n"/>
      <c r="G288" s="19" t="n"/>
      <c r="H288" s="19" t="n"/>
      <c r="I288" s="33" t="n"/>
      <c r="J288" s="19" t="n"/>
      <c r="K288" s="19" t="n"/>
    </row>
    <row r="289" ht="18" customHeight="1" s="42">
      <c r="A289" s="11" t="n"/>
      <c r="B289" s="11" t="n"/>
      <c r="C289" s="11" t="n"/>
      <c r="D289" s="11" t="n"/>
      <c r="E289" s="11" t="n"/>
      <c r="F289" s="11" t="n"/>
      <c r="G289" s="11" t="n"/>
      <c r="H289" s="11" t="n"/>
      <c r="I289" s="34" t="n"/>
      <c r="J289" s="11" t="n"/>
      <c r="K289" s="11" t="n"/>
    </row>
    <row r="290" ht="18" customHeight="1" s="42">
      <c r="A290" s="19" t="n"/>
      <c r="B290" s="19" t="n"/>
      <c r="C290" s="19" t="n"/>
      <c r="D290" s="19" t="n"/>
      <c r="E290" s="19" t="n"/>
      <c r="F290" s="19" t="n"/>
      <c r="G290" s="19" t="n"/>
      <c r="H290" s="19" t="n"/>
      <c r="I290" s="33" t="n"/>
      <c r="J290" s="19" t="n"/>
      <c r="K290" s="19" t="n"/>
    </row>
    <row r="291" ht="18" customHeight="1" s="42">
      <c r="A291" s="11" t="n"/>
      <c r="B291" s="11" t="n"/>
      <c r="C291" s="11" t="n"/>
      <c r="D291" s="11" t="n"/>
      <c r="E291" s="11" t="n"/>
      <c r="F291" s="11" t="n"/>
      <c r="G291" s="11" t="n"/>
      <c r="H291" s="11" t="n"/>
      <c r="I291" s="34" t="n"/>
      <c r="J291" s="11" t="n"/>
      <c r="K291" s="11" t="n"/>
    </row>
    <row r="292" ht="18" customHeight="1" s="42">
      <c r="A292" s="19" t="n"/>
      <c r="B292" s="19" t="n"/>
      <c r="C292" s="19" t="n"/>
      <c r="D292" s="19" t="n"/>
      <c r="E292" s="19" t="n"/>
      <c r="F292" s="19" t="n"/>
      <c r="G292" s="19" t="n"/>
      <c r="H292" s="19" t="n"/>
      <c r="I292" s="33" t="n"/>
      <c r="J292" s="19" t="n"/>
      <c r="K292" s="19" t="n"/>
    </row>
    <row r="293" ht="18" customHeight="1" s="42">
      <c r="A293" s="11" t="n"/>
      <c r="B293" s="11" t="n"/>
      <c r="C293" s="11" t="n"/>
      <c r="D293" s="11" t="n"/>
      <c r="E293" s="11" t="n"/>
      <c r="F293" s="11" t="n"/>
      <c r="G293" s="11" t="n"/>
      <c r="H293" s="11" t="n"/>
      <c r="I293" s="34" t="n"/>
      <c r="J293" s="11" t="n"/>
      <c r="K293" s="11" t="n"/>
    </row>
    <row r="294" ht="18" customHeight="1" s="42">
      <c r="A294" s="19" t="n"/>
      <c r="B294" s="19" t="n"/>
      <c r="C294" s="19" t="n"/>
      <c r="D294" s="19" t="n"/>
      <c r="E294" s="19" t="n"/>
      <c r="F294" s="19" t="n"/>
      <c r="G294" s="19" t="n"/>
      <c r="H294" s="19" t="n"/>
      <c r="I294" s="33" t="n"/>
      <c r="J294" s="19" t="n"/>
      <c r="K294" s="19" t="n"/>
    </row>
    <row r="295" ht="18" customHeight="1" s="42">
      <c r="A295" s="11" t="n"/>
      <c r="B295" s="11" t="n"/>
      <c r="C295" s="11" t="n"/>
      <c r="D295" s="11" t="n"/>
      <c r="E295" s="11" t="n"/>
      <c r="F295" s="11" t="n"/>
      <c r="G295" s="11" t="n"/>
      <c r="H295" s="11" t="n"/>
      <c r="I295" s="34" t="n"/>
      <c r="J295" s="11" t="n"/>
      <c r="K295" s="11" t="n"/>
    </row>
    <row r="296" ht="18" customHeight="1" s="42">
      <c r="A296" s="19" t="n"/>
      <c r="B296" s="19" t="n"/>
      <c r="C296" s="19" t="n"/>
      <c r="D296" s="19" t="n"/>
      <c r="E296" s="19" t="n"/>
      <c r="F296" s="19" t="n"/>
      <c r="G296" s="19" t="n"/>
      <c r="H296" s="19" t="n"/>
      <c r="I296" s="33" t="n"/>
      <c r="J296" s="19" t="n"/>
      <c r="K296" s="19" t="n"/>
    </row>
    <row r="297" ht="18" customHeight="1" s="42">
      <c r="A297" s="11" t="n"/>
      <c r="B297" s="11" t="n"/>
      <c r="C297" s="11" t="n"/>
      <c r="D297" s="11" t="n"/>
      <c r="E297" s="11" t="n"/>
      <c r="F297" s="11" t="n"/>
      <c r="G297" s="11" t="n"/>
      <c r="H297" s="11" t="n"/>
      <c r="I297" s="34" t="n"/>
      <c r="J297" s="11" t="n"/>
      <c r="K297" s="11" t="n"/>
    </row>
    <row r="298" ht="18" customHeight="1" s="42">
      <c r="A298" s="19" t="n"/>
      <c r="B298" s="19" t="n"/>
      <c r="C298" s="19" t="n"/>
      <c r="D298" s="19" t="n"/>
      <c r="E298" s="19" t="n"/>
      <c r="F298" s="19" t="n"/>
      <c r="G298" s="19" t="n"/>
      <c r="H298" s="19" t="n"/>
      <c r="I298" s="33" t="n"/>
      <c r="J298" s="19" t="n"/>
      <c r="K298" s="19" t="n"/>
    </row>
    <row r="299" ht="18" customHeight="1" s="42">
      <c r="A299" s="11" t="n"/>
      <c r="B299" s="11" t="n"/>
      <c r="C299" s="11" t="n"/>
      <c r="D299" s="11" t="n"/>
      <c r="E299" s="11" t="n"/>
      <c r="F299" s="11" t="n"/>
      <c r="G299" s="11" t="n"/>
      <c r="H299" s="11" t="n"/>
      <c r="I299" s="34" t="n"/>
      <c r="J299" s="11" t="n"/>
      <c r="K299" s="11" t="n"/>
    </row>
    <row r="300" ht="18" customHeight="1" s="42">
      <c r="A300" s="19" t="n"/>
      <c r="B300" s="19" t="n"/>
      <c r="C300" s="19" t="n"/>
      <c r="D300" s="19" t="n"/>
      <c r="E300" s="19" t="n"/>
      <c r="F300" s="19" t="n"/>
      <c r="G300" s="19" t="n"/>
      <c r="H300" s="19" t="n"/>
      <c r="I300" s="33" t="n"/>
      <c r="J300" s="19" t="n"/>
      <c r="K300" s="19" t="n"/>
    </row>
    <row r="301" ht="18" customHeight="1" s="42">
      <c r="A301" s="11" t="n"/>
      <c r="B301" s="11" t="n"/>
      <c r="C301" s="11" t="n"/>
      <c r="D301" s="11" t="n"/>
      <c r="E301" s="11" t="n"/>
      <c r="F301" s="11" t="n"/>
      <c r="G301" s="11" t="n"/>
      <c r="H301" s="11" t="n"/>
      <c r="I301" s="34" t="n"/>
      <c r="J301" s="11" t="n"/>
      <c r="K301" s="11" t="n"/>
    </row>
    <row r="302" ht="18" customHeight="1" s="42">
      <c r="A302" s="19" t="n"/>
      <c r="B302" s="19" t="n"/>
      <c r="C302" s="19" t="n"/>
      <c r="D302" s="19" t="n"/>
      <c r="E302" s="19" t="n"/>
      <c r="F302" s="19" t="n"/>
      <c r="G302" s="19" t="n"/>
      <c r="H302" s="19" t="n"/>
      <c r="I302" s="33" t="n"/>
      <c r="J302" s="19" t="n"/>
      <c r="K302" s="19" t="n"/>
    </row>
    <row r="303" ht="18" customHeight="1" s="42">
      <c r="A303" s="11" t="n"/>
      <c r="B303" s="11" t="n"/>
      <c r="C303" s="11" t="n"/>
      <c r="D303" s="11" t="n"/>
      <c r="E303" s="11" t="n"/>
      <c r="F303" s="11" t="n"/>
      <c r="G303" s="11" t="n"/>
      <c r="H303" s="11" t="n"/>
      <c r="I303" s="34" t="n"/>
      <c r="J303" s="11" t="n"/>
      <c r="K303" s="11" t="n"/>
    </row>
    <row r="304" ht="18" customHeight="1" s="42">
      <c r="A304" s="19" t="n"/>
      <c r="B304" s="19" t="n"/>
      <c r="C304" s="19" t="n"/>
      <c r="D304" s="19" t="n"/>
      <c r="E304" s="19" t="n"/>
      <c r="F304" s="19" t="n"/>
      <c r="G304" s="19" t="n"/>
      <c r="H304" s="19" t="n"/>
      <c r="I304" s="33" t="n"/>
      <c r="J304" s="19" t="n"/>
      <c r="K304" s="19" t="n"/>
    </row>
    <row r="305" ht="18" customHeight="1" s="42">
      <c r="A305" s="11" t="n"/>
      <c r="B305" s="11" t="n"/>
      <c r="C305" s="11" t="n"/>
      <c r="D305" s="11" t="n"/>
      <c r="E305" s="11" t="n"/>
      <c r="F305" s="11" t="n"/>
      <c r="G305" s="11" t="n"/>
      <c r="H305" s="11" t="n"/>
      <c r="I305" s="34" t="n"/>
      <c r="J305" s="11" t="n"/>
      <c r="K305" s="11" t="n"/>
    </row>
    <row r="306" ht="18" customHeight="1" s="42">
      <c r="A306" s="19" t="n"/>
      <c r="B306" s="19" t="n"/>
      <c r="C306" s="19" t="n"/>
      <c r="D306" s="19" t="n"/>
      <c r="E306" s="19" t="n"/>
      <c r="F306" s="19" t="n"/>
      <c r="G306" s="19" t="n"/>
      <c r="H306" s="19" t="n"/>
      <c r="I306" s="33" t="n"/>
      <c r="J306" s="19" t="n"/>
      <c r="K306" s="19" t="n"/>
    </row>
    <row r="307" ht="18" customHeight="1" s="42">
      <c r="A307" s="11" t="n"/>
      <c r="B307" s="11" t="n"/>
      <c r="C307" s="11" t="n"/>
      <c r="D307" s="11" t="n"/>
      <c r="E307" s="11" t="n"/>
      <c r="F307" s="11" t="n"/>
      <c r="G307" s="11" t="n"/>
      <c r="H307" s="11" t="n"/>
      <c r="I307" s="34" t="n"/>
      <c r="J307" s="11" t="n"/>
      <c r="K307" s="11" t="n"/>
    </row>
    <row r="308" ht="18" customHeight="1" s="42">
      <c r="A308" s="19" t="n"/>
      <c r="B308" s="19" t="n"/>
      <c r="C308" s="19" t="n"/>
      <c r="D308" s="19" t="n"/>
      <c r="E308" s="19" t="n"/>
      <c r="F308" s="19" t="n"/>
      <c r="G308" s="19" t="n"/>
      <c r="H308" s="19" t="n"/>
      <c r="I308" s="33" t="n"/>
      <c r="J308" s="19" t="n"/>
      <c r="K308" s="19" t="n"/>
    </row>
    <row r="309" ht="18" customHeight="1" s="42">
      <c r="A309" s="11" t="n"/>
      <c r="B309" s="11" t="n"/>
      <c r="C309" s="11" t="n"/>
      <c r="D309" s="11" t="n"/>
      <c r="E309" s="11" t="n"/>
      <c r="F309" s="11" t="n"/>
      <c r="G309" s="11" t="n"/>
      <c r="H309" s="11" t="n"/>
      <c r="I309" s="34" t="n"/>
      <c r="J309" s="11" t="n"/>
      <c r="K309" s="11" t="n"/>
    </row>
    <row r="310" ht="18" customHeight="1" s="42">
      <c r="A310" s="19" t="n"/>
      <c r="B310" s="19" t="n"/>
      <c r="C310" s="19" t="n"/>
      <c r="D310" s="19" t="n"/>
      <c r="E310" s="19" t="n"/>
      <c r="F310" s="19" t="n"/>
      <c r="G310" s="19" t="n"/>
      <c r="H310" s="19" t="n"/>
      <c r="I310" s="33" t="n"/>
      <c r="J310" s="19" t="n"/>
      <c r="K310" s="19" t="n"/>
    </row>
    <row r="311" ht="18" customHeight="1" s="42">
      <c r="A311" s="11" t="n"/>
      <c r="B311" s="11" t="n"/>
      <c r="C311" s="11" t="n"/>
      <c r="D311" s="11" t="n"/>
      <c r="E311" s="11" t="n"/>
      <c r="F311" s="11" t="n"/>
      <c r="G311" s="11" t="n"/>
      <c r="H311" s="11" t="n"/>
      <c r="I311" s="34" t="n"/>
      <c r="J311" s="11" t="n"/>
      <c r="K311" s="11" t="n"/>
    </row>
    <row r="312" ht="18" customHeight="1" s="42">
      <c r="A312" s="19" t="n"/>
      <c r="B312" s="19" t="n"/>
      <c r="C312" s="19" t="n"/>
      <c r="D312" s="19" t="n"/>
      <c r="E312" s="19" t="n"/>
      <c r="F312" s="19" t="n"/>
      <c r="G312" s="19" t="n"/>
      <c r="H312" s="19" t="n"/>
      <c r="I312" s="33" t="n"/>
      <c r="J312" s="19" t="n"/>
      <c r="K312" s="19" t="n"/>
    </row>
    <row r="313" ht="18" customHeight="1" s="42">
      <c r="A313" s="11" t="n"/>
      <c r="B313" s="11" t="n"/>
      <c r="C313" s="11" t="n"/>
      <c r="D313" s="11" t="n"/>
      <c r="E313" s="11" t="n"/>
      <c r="F313" s="11" t="n"/>
      <c r="G313" s="11" t="n"/>
      <c r="H313" s="11" t="n"/>
      <c r="I313" s="34" t="n"/>
      <c r="J313" s="11" t="n"/>
      <c r="K313" s="11" t="n"/>
    </row>
    <row r="314" ht="18" customHeight="1" s="42">
      <c r="A314" s="19" t="n"/>
      <c r="B314" s="19" t="n"/>
      <c r="C314" s="19" t="n"/>
      <c r="D314" s="19" t="n"/>
      <c r="E314" s="19" t="n"/>
      <c r="F314" s="19" t="n"/>
      <c r="G314" s="19" t="n"/>
      <c r="H314" s="19" t="n"/>
      <c r="I314" s="33" t="n"/>
      <c r="J314" s="19" t="n"/>
      <c r="K314" s="19" t="n"/>
    </row>
    <row r="315" ht="18" customHeight="1" s="42">
      <c r="A315" s="11" t="n"/>
      <c r="B315" s="11" t="n"/>
      <c r="C315" s="11" t="n"/>
      <c r="D315" s="11" t="n"/>
      <c r="E315" s="11" t="n"/>
      <c r="F315" s="11" t="n"/>
      <c r="G315" s="11" t="n"/>
      <c r="H315" s="11" t="n"/>
      <c r="I315" s="34" t="n"/>
      <c r="J315" s="11" t="n"/>
      <c r="K315" s="11" t="n"/>
    </row>
    <row r="316" ht="18" customHeight="1" s="42">
      <c r="A316" s="19" t="n"/>
      <c r="B316" s="19" t="n"/>
      <c r="C316" s="19" t="n"/>
      <c r="D316" s="19" t="n"/>
      <c r="E316" s="19" t="n"/>
      <c r="F316" s="19" t="n"/>
      <c r="G316" s="19" t="n"/>
      <c r="H316" s="19" t="n"/>
      <c r="I316" s="33" t="n"/>
      <c r="J316" s="19" t="n"/>
      <c r="K316" s="19" t="n"/>
    </row>
    <row r="317" ht="18" customHeight="1" s="42">
      <c r="A317" s="11" t="n"/>
      <c r="B317" s="11" t="n"/>
      <c r="C317" s="11" t="n"/>
      <c r="D317" s="11" t="n"/>
      <c r="E317" s="11" t="n"/>
      <c r="F317" s="11" t="n"/>
      <c r="G317" s="11" t="n"/>
      <c r="H317" s="11" t="n"/>
      <c r="I317" s="34" t="n"/>
      <c r="J317" s="11" t="n"/>
      <c r="K317" s="11" t="n"/>
    </row>
    <row r="318" ht="18" customHeight="1" s="42">
      <c r="A318" s="19" t="n"/>
      <c r="B318" s="19" t="n"/>
      <c r="C318" s="19" t="n"/>
      <c r="D318" s="19" t="n"/>
      <c r="E318" s="19" t="n"/>
      <c r="F318" s="19" t="n"/>
      <c r="G318" s="19" t="n"/>
      <c r="H318" s="19" t="n"/>
      <c r="I318" s="33" t="n"/>
      <c r="J318" s="19" t="n"/>
      <c r="K318" s="19" t="n"/>
    </row>
    <row r="319" ht="18" customHeight="1" s="42">
      <c r="A319" s="11" t="n"/>
      <c r="B319" s="11" t="n"/>
      <c r="C319" s="11" t="n"/>
      <c r="D319" s="11" t="n"/>
      <c r="E319" s="11" t="n"/>
      <c r="F319" s="11" t="n"/>
      <c r="G319" s="11" t="n"/>
      <c r="H319" s="11" t="n"/>
      <c r="I319" s="34" t="n"/>
      <c r="J319" s="11" t="n"/>
      <c r="K319" s="11" t="n"/>
    </row>
    <row r="320" ht="18" customHeight="1" s="42">
      <c r="A320" s="19" t="n"/>
      <c r="B320" s="19" t="n"/>
      <c r="C320" s="19" t="n"/>
      <c r="D320" s="19" t="n"/>
      <c r="E320" s="19" t="n"/>
      <c r="F320" s="19" t="n"/>
      <c r="G320" s="19" t="n"/>
      <c r="H320" s="19" t="n"/>
      <c r="I320" s="33" t="n"/>
      <c r="J320" s="19" t="n"/>
      <c r="K320" s="19" t="n"/>
    </row>
    <row r="321" ht="18" customHeight="1" s="42">
      <c r="A321" s="11" t="n"/>
      <c r="B321" s="11" t="n"/>
      <c r="C321" s="11" t="n"/>
      <c r="D321" s="11" t="n"/>
      <c r="E321" s="11" t="n"/>
      <c r="F321" s="11" t="n"/>
      <c r="G321" s="11" t="n"/>
      <c r="H321" s="11" t="n"/>
      <c r="I321" s="34" t="n"/>
      <c r="J321" s="11" t="n"/>
      <c r="K321" s="11" t="n"/>
    </row>
    <row r="322" ht="18" customHeight="1" s="42">
      <c r="A322" s="19" t="n"/>
      <c r="B322" s="19" t="n"/>
      <c r="C322" s="19" t="n"/>
      <c r="D322" s="19" t="n"/>
      <c r="E322" s="19" t="n"/>
      <c r="F322" s="19" t="n"/>
      <c r="G322" s="19" t="n"/>
      <c r="H322" s="19" t="n"/>
      <c r="I322" s="33" t="n"/>
      <c r="J322" s="19" t="n"/>
      <c r="K322" s="19" t="n"/>
    </row>
    <row r="323" ht="18" customHeight="1" s="42">
      <c r="A323" s="11" t="n"/>
      <c r="B323" s="11" t="n"/>
      <c r="C323" s="11" t="n"/>
      <c r="D323" s="11" t="n"/>
      <c r="E323" s="11" t="n"/>
      <c r="F323" s="11" t="n"/>
      <c r="G323" s="11" t="n"/>
      <c r="H323" s="11" t="n"/>
      <c r="I323" s="34" t="n"/>
      <c r="J323" s="11" t="n"/>
      <c r="K323" s="11" t="n"/>
    </row>
    <row r="324" ht="18" customHeight="1" s="42">
      <c r="A324" s="19" t="n"/>
      <c r="B324" s="19" t="n"/>
      <c r="C324" s="19" t="n"/>
      <c r="D324" s="19" t="n"/>
      <c r="E324" s="19" t="n"/>
      <c r="F324" s="19" t="n"/>
      <c r="G324" s="19" t="n"/>
      <c r="H324" s="19" t="n"/>
      <c r="I324" s="33" t="n"/>
      <c r="J324" s="19" t="n"/>
      <c r="K324" s="19" t="n"/>
    </row>
    <row r="325" ht="18" customHeight="1" s="42">
      <c r="A325" s="11" t="n"/>
      <c r="B325" s="11" t="n"/>
      <c r="C325" s="11" t="n"/>
      <c r="D325" s="11" t="n"/>
      <c r="E325" s="11" t="n"/>
      <c r="F325" s="11" t="n"/>
      <c r="G325" s="11" t="n"/>
      <c r="H325" s="11" t="n"/>
      <c r="I325" s="34" t="n"/>
      <c r="J325" s="11" t="n"/>
      <c r="K325" s="11" t="n"/>
    </row>
    <row r="326" ht="18" customHeight="1" s="42">
      <c r="A326" s="19" t="n"/>
      <c r="B326" s="19" t="n"/>
      <c r="C326" s="19" t="n"/>
      <c r="D326" s="19" t="n"/>
      <c r="E326" s="19" t="n"/>
      <c r="F326" s="19" t="n"/>
      <c r="G326" s="19" t="n"/>
      <c r="H326" s="19" t="n"/>
      <c r="I326" s="33" t="n"/>
      <c r="J326" s="19" t="n"/>
      <c r="K326" s="19" t="n"/>
    </row>
    <row r="327" ht="18" customHeight="1" s="42">
      <c r="A327" s="11" t="n"/>
      <c r="B327" s="11" t="n"/>
      <c r="C327" s="11" t="n"/>
      <c r="D327" s="11" t="n"/>
      <c r="E327" s="11" t="n"/>
      <c r="F327" s="11" t="n"/>
      <c r="G327" s="11" t="n"/>
      <c r="H327" s="11" t="n"/>
      <c r="I327" s="34" t="n"/>
      <c r="J327" s="11" t="n"/>
      <c r="K327" s="11" t="n"/>
    </row>
    <row r="328" ht="18" customHeight="1" s="42">
      <c r="A328" s="19" t="n"/>
      <c r="B328" s="19" t="n"/>
      <c r="C328" s="19" t="n"/>
      <c r="D328" s="19" t="n"/>
      <c r="E328" s="19" t="n"/>
      <c r="F328" s="19" t="n"/>
      <c r="G328" s="19" t="n"/>
      <c r="H328" s="19" t="n"/>
      <c r="I328" s="33" t="n"/>
      <c r="J328" s="19" t="n"/>
      <c r="K328" s="19" t="n"/>
    </row>
    <row r="329" ht="18" customHeight="1" s="42">
      <c r="A329" s="11" t="n"/>
      <c r="B329" s="11" t="n"/>
      <c r="C329" s="11" t="n"/>
      <c r="D329" s="11" t="n"/>
      <c r="E329" s="11" t="n"/>
      <c r="F329" s="11" t="n"/>
      <c r="G329" s="11" t="n"/>
      <c r="H329" s="11" t="n"/>
      <c r="I329" s="34" t="n"/>
      <c r="J329" s="11" t="n"/>
      <c r="K329" s="11" t="n"/>
    </row>
    <row r="330" ht="18" customHeight="1" s="42">
      <c r="A330" s="19" t="n"/>
      <c r="B330" s="19" t="n"/>
      <c r="C330" s="19" t="n"/>
      <c r="D330" s="19" t="n"/>
      <c r="E330" s="19" t="n"/>
      <c r="F330" s="19" t="n"/>
      <c r="G330" s="19" t="n"/>
      <c r="H330" s="19" t="n"/>
      <c r="I330" s="33" t="n"/>
      <c r="J330" s="19" t="n"/>
      <c r="K330" s="19" t="n"/>
    </row>
    <row r="331" ht="18" customHeight="1" s="42">
      <c r="A331" s="11" t="n"/>
      <c r="B331" s="11" t="n"/>
      <c r="C331" s="11" t="n"/>
      <c r="D331" s="11" t="n"/>
      <c r="E331" s="11" t="n"/>
      <c r="F331" s="11" t="n"/>
      <c r="G331" s="11" t="n"/>
      <c r="H331" s="11" t="n"/>
      <c r="I331" s="34" t="n"/>
      <c r="J331" s="11" t="n"/>
      <c r="K331" s="11" t="n"/>
    </row>
    <row r="332" ht="18" customHeight="1" s="42">
      <c r="A332" s="19" t="n"/>
      <c r="B332" s="19" t="n"/>
      <c r="C332" s="19" t="n"/>
      <c r="D332" s="19" t="n"/>
      <c r="E332" s="19" t="n"/>
      <c r="F332" s="19" t="n"/>
      <c r="G332" s="19" t="n"/>
      <c r="H332" s="19" t="n"/>
      <c r="I332" s="33" t="n"/>
      <c r="J332" s="19" t="n"/>
      <c r="K332" s="19" t="n"/>
    </row>
    <row r="333" ht="18" customHeight="1" s="42">
      <c r="A333" s="11" t="n"/>
      <c r="B333" s="11" t="n"/>
      <c r="C333" s="11" t="n"/>
      <c r="D333" s="11" t="n"/>
      <c r="E333" s="11" t="n"/>
      <c r="F333" s="11" t="n"/>
      <c r="G333" s="11" t="n"/>
      <c r="H333" s="11" t="n"/>
      <c r="I333" s="34" t="n"/>
      <c r="J333" s="11" t="n"/>
      <c r="K333" s="11" t="n"/>
    </row>
    <row r="334" ht="18" customHeight="1" s="42">
      <c r="A334" s="19" t="n"/>
      <c r="B334" s="19" t="n"/>
      <c r="C334" s="19" t="n"/>
      <c r="D334" s="19" t="n"/>
      <c r="E334" s="19" t="n"/>
      <c r="F334" s="19" t="n"/>
      <c r="G334" s="19" t="n"/>
      <c r="H334" s="19" t="n"/>
      <c r="I334" s="33" t="n"/>
      <c r="J334" s="19" t="n"/>
      <c r="K334" s="19" t="n"/>
    </row>
    <row r="335" ht="18" customHeight="1" s="42">
      <c r="A335" s="11" t="n"/>
      <c r="B335" s="11" t="n"/>
      <c r="C335" s="11" t="n"/>
      <c r="D335" s="11" t="n"/>
      <c r="E335" s="11" t="n"/>
      <c r="F335" s="11" t="n"/>
      <c r="G335" s="11" t="n"/>
      <c r="H335" s="11" t="n"/>
      <c r="I335" s="34" t="n"/>
      <c r="J335" s="11" t="n"/>
      <c r="K335" s="11" t="n"/>
    </row>
    <row r="336" ht="18" customHeight="1" s="42">
      <c r="A336" s="19" t="n"/>
      <c r="B336" s="19" t="n"/>
      <c r="C336" s="19" t="n"/>
      <c r="D336" s="19" t="n"/>
      <c r="E336" s="19" t="n"/>
      <c r="F336" s="19" t="n"/>
      <c r="G336" s="19" t="n"/>
      <c r="H336" s="19" t="n"/>
      <c r="I336" s="33" t="n"/>
      <c r="J336" s="19" t="n"/>
      <c r="K336" s="19" t="n"/>
    </row>
    <row r="337" ht="18" customHeight="1" s="42">
      <c r="A337" s="11" t="n"/>
      <c r="B337" s="11" t="n"/>
      <c r="C337" s="11" t="n"/>
      <c r="D337" s="11" t="n"/>
      <c r="E337" s="11" t="n"/>
      <c r="F337" s="11" t="n"/>
      <c r="G337" s="11" t="n"/>
      <c r="H337" s="11" t="n"/>
      <c r="I337" s="34" t="n"/>
      <c r="J337" s="11" t="n"/>
      <c r="K337" s="11" t="n"/>
    </row>
    <row r="338" ht="18" customHeight="1" s="42">
      <c r="A338" s="19" t="n"/>
      <c r="B338" s="19" t="n"/>
      <c r="C338" s="19" t="n"/>
      <c r="D338" s="19" t="n"/>
      <c r="E338" s="19" t="n"/>
      <c r="F338" s="19" t="n"/>
      <c r="G338" s="19" t="n"/>
      <c r="H338" s="19" t="n"/>
      <c r="I338" s="33" t="n"/>
      <c r="J338" s="19" t="n"/>
      <c r="K338" s="19" t="n"/>
    </row>
    <row r="339" ht="18" customHeight="1" s="42">
      <c r="A339" s="11" t="n"/>
      <c r="B339" s="11" t="n"/>
      <c r="C339" s="11" t="n"/>
      <c r="D339" s="11" t="n"/>
      <c r="E339" s="11" t="n"/>
      <c r="F339" s="11" t="n"/>
      <c r="G339" s="11" t="n"/>
      <c r="H339" s="11" t="n"/>
      <c r="I339" s="34" t="n"/>
      <c r="J339" s="11" t="n"/>
      <c r="K339" s="11" t="n"/>
    </row>
    <row r="340" ht="18" customHeight="1" s="42">
      <c r="A340" s="19" t="n"/>
      <c r="B340" s="19" t="n"/>
      <c r="C340" s="19" t="n"/>
      <c r="D340" s="19" t="n"/>
      <c r="E340" s="19" t="n"/>
      <c r="F340" s="19" t="n"/>
      <c r="G340" s="19" t="n"/>
      <c r="H340" s="19" t="n"/>
      <c r="I340" s="33" t="n"/>
      <c r="J340" s="19" t="n"/>
      <c r="K340" s="19" t="n"/>
    </row>
    <row r="341" ht="18" customHeight="1" s="42">
      <c r="A341" s="11" t="n"/>
      <c r="B341" s="11" t="n"/>
      <c r="C341" s="11" t="n"/>
      <c r="D341" s="11" t="n"/>
      <c r="E341" s="11" t="n"/>
      <c r="F341" s="11" t="n"/>
      <c r="G341" s="11" t="n"/>
      <c r="H341" s="11" t="n"/>
      <c r="I341" s="34" t="n"/>
      <c r="J341" s="11" t="n"/>
      <c r="K341" s="11" t="n"/>
    </row>
    <row r="342" ht="18" customHeight="1" s="42">
      <c r="A342" s="19" t="n"/>
      <c r="B342" s="19" t="n"/>
      <c r="C342" s="19" t="n"/>
      <c r="D342" s="19" t="n"/>
      <c r="E342" s="19" t="n"/>
      <c r="F342" s="19" t="n"/>
      <c r="G342" s="19" t="n"/>
      <c r="H342" s="19" t="n"/>
      <c r="I342" s="33" t="n"/>
      <c r="J342" s="19" t="n"/>
      <c r="K342" s="19" t="n"/>
    </row>
    <row r="343" ht="18" customHeight="1" s="42">
      <c r="A343" s="11" t="n"/>
      <c r="B343" s="11" t="n"/>
      <c r="C343" s="11" t="n"/>
      <c r="D343" s="11" t="n"/>
      <c r="E343" s="11" t="n"/>
      <c r="F343" s="11" t="n"/>
      <c r="G343" s="11" t="n"/>
      <c r="H343" s="11" t="n"/>
      <c r="I343" s="34" t="n"/>
      <c r="J343" s="11" t="n"/>
      <c r="K343" s="11" t="n"/>
    </row>
    <row r="344" ht="18" customHeight="1" s="42">
      <c r="A344" s="19" t="n"/>
      <c r="B344" s="19" t="n"/>
      <c r="C344" s="19" t="n"/>
      <c r="D344" s="19" t="n"/>
      <c r="E344" s="19" t="n"/>
      <c r="F344" s="19" t="n"/>
      <c r="G344" s="19" t="n"/>
      <c r="H344" s="19" t="n"/>
      <c r="I344" s="33" t="n"/>
      <c r="J344" s="19" t="n"/>
      <c r="K344" s="19" t="n"/>
    </row>
    <row r="345" ht="18" customHeight="1" s="42">
      <c r="A345" s="11" t="n"/>
      <c r="B345" s="11" t="n"/>
      <c r="C345" s="11" t="n"/>
      <c r="D345" s="11" t="n"/>
      <c r="E345" s="11" t="n"/>
      <c r="F345" s="11" t="n"/>
      <c r="G345" s="11" t="n"/>
      <c r="H345" s="11" t="n"/>
      <c r="I345" s="34" t="n"/>
      <c r="J345" s="11" t="n"/>
      <c r="K345" s="11" t="n"/>
    </row>
    <row r="346" ht="18" customHeight="1" s="42">
      <c r="A346" s="19" t="n"/>
      <c r="B346" s="19" t="n"/>
      <c r="C346" s="19" t="n"/>
      <c r="D346" s="19" t="n"/>
      <c r="E346" s="19" t="n"/>
      <c r="F346" s="19" t="n"/>
      <c r="G346" s="19" t="n"/>
      <c r="H346" s="19" t="n"/>
      <c r="I346" s="33" t="n"/>
      <c r="J346" s="19" t="n"/>
      <c r="K346" s="19" t="n"/>
    </row>
    <row r="347" ht="18" customHeight="1" s="42">
      <c r="A347" s="11" t="n"/>
      <c r="B347" s="11" t="n"/>
      <c r="C347" s="11" t="n"/>
      <c r="D347" s="11" t="n"/>
      <c r="E347" s="11" t="n"/>
      <c r="F347" s="11" t="n"/>
      <c r="G347" s="11" t="n"/>
      <c r="H347" s="11" t="n"/>
      <c r="I347" s="34" t="n"/>
      <c r="J347" s="11" t="n"/>
      <c r="K347" s="11" t="n"/>
    </row>
    <row r="348" ht="18" customHeight="1" s="42">
      <c r="A348" s="19" t="n"/>
      <c r="B348" s="19" t="n"/>
      <c r="C348" s="19" t="n"/>
      <c r="D348" s="19" t="n"/>
      <c r="E348" s="19" t="n"/>
      <c r="F348" s="19" t="n"/>
      <c r="G348" s="19" t="n"/>
      <c r="H348" s="19" t="n"/>
      <c r="I348" s="33" t="n"/>
      <c r="J348" s="19" t="n"/>
      <c r="K348" s="19" t="n"/>
    </row>
    <row r="349" ht="18" customHeight="1" s="42">
      <c r="A349" s="11" t="n"/>
      <c r="B349" s="11" t="n"/>
      <c r="C349" s="11" t="n"/>
      <c r="D349" s="11" t="n"/>
      <c r="E349" s="11" t="n"/>
      <c r="F349" s="11" t="n"/>
      <c r="G349" s="11" t="n"/>
      <c r="H349" s="11" t="n"/>
      <c r="I349" s="34" t="n"/>
      <c r="J349" s="11" t="n"/>
      <c r="K349" s="11" t="n"/>
    </row>
    <row r="350" ht="18" customHeight="1" s="42">
      <c r="A350" s="19" t="n"/>
      <c r="B350" s="19" t="n"/>
      <c r="C350" s="19" t="n"/>
      <c r="D350" s="19" t="n"/>
      <c r="E350" s="19" t="n"/>
      <c r="F350" s="19" t="n"/>
      <c r="G350" s="19" t="n"/>
      <c r="H350" s="19" t="n"/>
      <c r="I350" s="33" t="n"/>
      <c r="J350" s="19" t="n"/>
      <c r="K350" s="19" t="n"/>
    </row>
    <row r="351" ht="18" customHeight="1" s="42">
      <c r="A351" s="11" t="n"/>
      <c r="B351" s="11" t="n"/>
      <c r="C351" s="11" t="n"/>
      <c r="D351" s="11" t="n"/>
      <c r="E351" s="11" t="n"/>
      <c r="F351" s="11" t="n"/>
      <c r="G351" s="11" t="n"/>
      <c r="H351" s="11" t="n"/>
      <c r="I351" s="34" t="n"/>
      <c r="J351" s="11" t="n"/>
      <c r="K351" s="11" t="n"/>
    </row>
    <row r="352" ht="18" customHeight="1" s="42">
      <c r="A352" s="19" t="n"/>
      <c r="B352" s="19" t="n"/>
      <c r="C352" s="19" t="n"/>
      <c r="D352" s="19" t="n"/>
      <c r="E352" s="19" t="n"/>
      <c r="F352" s="19" t="n"/>
      <c r="G352" s="19" t="n"/>
      <c r="H352" s="19" t="n"/>
      <c r="I352" s="33" t="n"/>
      <c r="J352" s="19" t="n"/>
      <c r="K352" s="19" t="n"/>
    </row>
    <row r="353" ht="18" customHeight="1" s="42">
      <c r="A353" s="11" t="n"/>
      <c r="B353" s="11" t="n"/>
      <c r="C353" s="11" t="n"/>
      <c r="D353" s="11" t="n"/>
      <c r="E353" s="11" t="n"/>
      <c r="F353" s="11" t="n"/>
      <c r="G353" s="11" t="n"/>
      <c r="H353" s="11" t="n"/>
      <c r="I353" s="34" t="n"/>
      <c r="J353" s="11" t="n"/>
      <c r="K353" s="11" t="n"/>
    </row>
    <row r="354" ht="18" customHeight="1" s="42">
      <c r="A354" s="19" t="n"/>
      <c r="B354" s="19" t="n"/>
      <c r="C354" s="19" t="n"/>
      <c r="D354" s="19" t="n"/>
      <c r="E354" s="19" t="n"/>
      <c r="F354" s="19" t="n"/>
      <c r="G354" s="19" t="n"/>
      <c r="H354" s="19" t="n"/>
      <c r="I354" s="33" t="n"/>
      <c r="J354" s="19" t="n"/>
      <c r="K354" s="19" t="n"/>
    </row>
    <row r="355" ht="18" customHeight="1" s="42">
      <c r="A355" s="11" t="n"/>
      <c r="B355" s="11" t="n"/>
      <c r="C355" s="11" t="n"/>
      <c r="D355" s="11" t="n"/>
      <c r="E355" s="11" t="n"/>
      <c r="F355" s="11" t="n"/>
      <c r="G355" s="11" t="n"/>
      <c r="H355" s="11" t="n"/>
      <c r="I355" s="34" t="n"/>
      <c r="J355" s="11" t="n"/>
      <c r="K355" s="11" t="n"/>
    </row>
    <row r="356" ht="18" customHeight="1" s="42">
      <c r="A356" s="19" t="n"/>
      <c r="B356" s="19" t="n"/>
      <c r="C356" s="19" t="n"/>
      <c r="D356" s="19" t="n"/>
      <c r="E356" s="19" t="n"/>
      <c r="F356" s="19" t="n"/>
      <c r="G356" s="19" t="n"/>
      <c r="H356" s="19" t="n"/>
      <c r="I356" s="33" t="n"/>
      <c r="J356" s="19" t="n"/>
      <c r="K356" s="19" t="n"/>
    </row>
    <row r="357" ht="18" customHeight="1" s="42">
      <c r="A357" s="11" t="n"/>
      <c r="B357" s="11" t="n"/>
      <c r="C357" s="11" t="n"/>
      <c r="D357" s="11" t="n"/>
      <c r="E357" s="11" t="n"/>
      <c r="F357" s="11" t="n"/>
      <c r="G357" s="11" t="n"/>
      <c r="H357" s="11" t="n"/>
      <c r="I357" s="34" t="n"/>
      <c r="J357" s="11" t="n"/>
      <c r="K357" s="11" t="n"/>
    </row>
    <row r="358" ht="18" customHeight="1" s="42">
      <c r="A358" s="19" t="n"/>
      <c r="B358" s="19" t="n"/>
      <c r="C358" s="19" t="n"/>
      <c r="D358" s="19" t="n"/>
      <c r="E358" s="19" t="n"/>
      <c r="F358" s="19" t="n"/>
      <c r="G358" s="19" t="n"/>
      <c r="H358" s="19" t="n"/>
      <c r="I358" s="33" t="n"/>
      <c r="J358" s="19" t="n"/>
      <c r="K358" s="19" t="n"/>
    </row>
    <row r="359" ht="18" customHeight="1" s="42">
      <c r="A359" s="11" t="n"/>
      <c r="B359" s="11" t="n"/>
      <c r="C359" s="11" t="n"/>
      <c r="D359" s="11" t="n"/>
      <c r="E359" s="11" t="n"/>
      <c r="F359" s="11" t="n"/>
      <c r="G359" s="11" t="n"/>
      <c r="H359" s="11" t="n"/>
      <c r="I359" s="34" t="n"/>
      <c r="J359" s="11" t="n"/>
      <c r="K359" s="11" t="n"/>
    </row>
    <row r="360" ht="18" customHeight="1" s="42">
      <c r="A360" s="19" t="n"/>
      <c r="B360" s="19" t="n"/>
      <c r="C360" s="19" t="n"/>
      <c r="D360" s="19" t="n"/>
      <c r="E360" s="19" t="n"/>
      <c r="F360" s="19" t="n"/>
      <c r="G360" s="19" t="n"/>
      <c r="H360" s="19" t="n"/>
      <c r="I360" s="33" t="n"/>
      <c r="J360" s="19" t="n"/>
      <c r="K360" s="19" t="n"/>
    </row>
    <row r="361" ht="18" customHeight="1" s="42">
      <c r="A361" s="11" t="n"/>
      <c r="B361" s="11" t="n"/>
      <c r="C361" s="11" t="n"/>
      <c r="D361" s="11" t="n"/>
      <c r="E361" s="11" t="n"/>
      <c r="F361" s="11" t="n"/>
      <c r="G361" s="11" t="n"/>
      <c r="H361" s="11" t="n"/>
      <c r="I361" s="34" t="n"/>
      <c r="J361" s="11" t="n"/>
      <c r="K361" s="11" t="n"/>
    </row>
    <row r="362" ht="18" customHeight="1" s="42">
      <c r="A362" s="19" t="n"/>
      <c r="B362" s="19" t="n"/>
      <c r="C362" s="19" t="n"/>
      <c r="D362" s="19" t="n"/>
      <c r="E362" s="19" t="n"/>
      <c r="F362" s="19" t="n"/>
      <c r="G362" s="19" t="n"/>
      <c r="H362" s="19" t="n"/>
      <c r="I362" s="33" t="n"/>
      <c r="J362" s="19" t="n"/>
      <c r="K362" s="19" t="n"/>
    </row>
    <row r="363" ht="18" customHeight="1" s="42">
      <c r="A363" s="11" t="n"/>
      <c r="B363" s="11" t="n"/>
      <c r="C363" s="11" t="n"/>
      <c r="D363" s="11" t="n"/>
      <c r="E363" s="11" t="n"/>
      <c r="F363" s="11" t="n"/>
      <c r="G363" s="11" t="n"/>
      <c r="H363" s="11" t="n"/>
      <c r="I363" s="34" t="n"/>
      <c r="J363" s="11" t="n"/>
      <c r="K363" s="11" t="n"/>
    </row>
    <row r="364" ht="18" customHeight="1" s="42">
      <c r="A364" s="19" t="n"/>
      <c r="B364" s="19" t="n"/>
      <c r="C364" s="19" t="n"/>
      <c r="D364" s="19" t="n"/>
      <c r="E364" s="19" t="n"/>
      <c r="F364" s="19" t="n"/>
      <c r="G364" s="19" t="n"/>
      <c r="H364" s="19" t="n"/>
      <c r="I364" s="33" t="n"/>
      <c r="J364" s="19" t="n"/>
      <c r="K364" s="19" t="n"/>
    </row>
    <row r="365" ht="18" customHeight="1" s="42">
      <c r="A365" s="11" t="n"/>
      <c r="B365" s="11" t="n"/>
      <c r="C365" s="11" t="n"/>
      <c r="D365" s="11" t="n"/>
      <c r="E365" s="11" t="n"/>
      <c r="F365" s="11" t="n"/>
      <c r="G365" s="11" t="n"/>
      <c r="H365" s="11" t="n"/>
      <c r="I365" s="34" t="n"/>
      <c r="J365" s="11" t="n"/>
      <c r="K365" s="11" t="n"/>
    </row>
    <row r="366" ht="18" customHeight="1" s="42">
      <c r="A366" s="19" t="n"/>
      <c r="B366" s="19" t="n"/>
      <c r="C366" s="19" t="n"/>
      <c r="D366" s="19" t="n"/>
      <c r="E366" s="19" t="n"/>
      <c r="F366" s="19" t="n"/>
      <c r="G366" s="19" t="n"/>
      <c r="H366" s="19" t="n"/>
      <c r="I366" s="33" t="n"/>
      <c r="J366" s="19" t="n"/>
      <c r="K366" s="19" t="n"/>
    </row>
    <row r="367" ht="18" customHeight="1" s="42">
      <c r="A367" s="11" t="n"/>
      <c r="B367" s="11" t="n"/>
      <c r="C367" s="11" t="n"/>
      <c r="D367" s="11" t="n"/>
      <c r="E367" s="11" t="n"/>
      <c r="F367" s="11" t="n"/>
      <c r="G367" s="11" t="n"/>
      <c r="H367" s="11" t="n"/>
      <c r="I367" s="34" t="n"/>
      <c r="J367" s="11" t="n"/>
      <c r="K367" s="11" t="n"/>
    </row>
    <row r="368" ht="18" customHeight="1" s="42">
      <c r="A368" s="19" t="n"/>
      <c r="B368" s="19" t="n"/>
      <c r="C368" s="19" t="n"/>
      <c r="D368" s="19" t="n"/>
      <c r="E368" s="19" t="n"/>
      <c r="F368" s="19" t="n"/>
      <c r="G368" s="19" t="n"/>
      <c r="H368" s="19" t="n"/>
      <c r="I368" s="33" t="n"/>
      <c r="J368" s="19" t="n"/>
      <c r="K368" s="19" t="n"/>
    </row>
    <row r="369" ht="18" customHeight="1" s="42">
      <c r="A369" s="11" t="n"/>
      <c r="B369" s="11" t="n"/>
      <c r="C369" s="11" t="n"/>
      <c r="D369" s="11" t="n"/>
      <c r="E369" s="11" t="n"/>
      <c r="F369" s="11" t="n"/>
      <c r="G369" s="11" t="n"/>
      <c r="H369" s="11" t="n"/>
      <c r="I369" s="34" t="n"/>
      <c r="J369" s="11" t="n"/>
      <c r="K369" s="11" t="n"/>
    </row>
    <row r="370" ht="18" customHeight="1" s="42">
      <c r="A370" s="19" t="n"/>
      <c r="B370" s="19" t="n"/>
      <c r="C370" s="19" t="n"/>
      <c r="D370" s="19" t="n"/>
      <c r="E370" s="19" t="n"/>
      <c r="F370" s="19" t="n"/>
      <c r="G370" s="19" t="n"/>
      <c r="H370" s="19" t="n"/>
      <c r="I370" s="33" t="n"/>
      <c r="J370" s="19" t="n"/>
      <c r="K370" s="19" t="n"/>
    </row>
    <row r="371" ht="18" customHeight="1" s="42">
      <c r="A371" s="11" t="n"/>
      <c r="B371" s="11" t="n"/>
      <c r="C371" s="11" t="n"/>
      <c r="D371" s="11" t="n"/>
      <c r="E371" s="11" t="n"/>
      <c r="F371" s="11" t="n"/>
      <c r="G371" s="11" t="n"/>
      <c r="H371" s="11" t="n"/>
      <c r="I371" s="34" t="n"/>
      <c r="J371" s="11" t="n"/>
      <c r="K371" s="11" t="n"/>
    </row>
    <row r="372" ht="18" customHeight="1" s="42">
      <c r="A372" s="19" t="n"/>
      <c r="B372" s="19" t="n"/>
      <c r="C372" s="19" t="n"/>
      <c r="D372" s="19" t="n"/>
      <c r="E372" s="19" t="n"/>
      <c r="F372" s="19" t="n"/>
      <c r="G372" s="19" t="n"/>
      <c r="H372" s="19" t="n"/>
      <c r="I372" s="33" t="n"/>
      <c r="J372" s="19" t="n"/>
      <c r="K372" s="19" t="n"/>
    </row>
    <row r="373" ht="18" customHeight="1" s="42">
      <c r="A373" s="11" t="n"/>
      <c r="B373" s="11" t="n"/>
      <c r="C373" s="11" t="n"/>
      <c r="D373" s="11" t="n"/>
      <c r="E373" s="11" t="n"/>
      <c r="F373" s="11" t="n"/>
      <c r="G373" s="11" t="n"/>
      <c r="H373" s="11" t="n"/>
      <c r="I373" s="34" t="n"/>
      <c r="J373" s="11" t="n"/>
      <c r="K373" s="11" t="n"/>
    </row>
    <row r="374" ht="18" customHeight="1" s="42">
      <c r="A374" s="19" t="n"/>
      <c r="B374" s="19" t="n"/>
      <c r="C374" s="19" t="n"/>
      <c r="D374" s="19" t="n"/>
      <c r="E374" s="19" t="n"/>
      <c r="F374" s="19" t="n"/>
      <c r="G374" s="19" t="n"/>
      <c r="H374" s="19" t="n"/>
      <c r="I374" s="33" t="n"/>
      <c r="J374" s="19" t="n"/>
      <c r="K374" s="19" t="n"/>
    </row>
    <row r="375" ht="18" customHeight="1" s="42">
      <c r="A375" s="11" t="n"/>
      <c r="B375" s="11" t="n"/>
      <c r="C375" s="11" t="n"/>
      <c r="D375" s="11" t="n"/>
      <c r="E375" s="11" t="n"/>
      <c r="F375" s="11" t="n"/>
      <c r="G375" s="11" t="n"/>
      <c r="H375" s="11" t="n"/>
      <c r="I375" s="34" t="n"/>
      <c r="J375" s="11" t="n"/>
      <c r="K375" s="11" t="n"/>
    </row>
    <row r="376" ht="18" customHeight="1" s="42">
      <c r="A376" s="19" t="n"/>
      <c r="B376" s="19" t="n"/>
      <c r="C376" s="19" t="n"/>
      <c r="D376" s="19" t="n"/>
      <c r="E376" s="19" t="n"/>
      <c r="F376" s="19" t="n"/>
      <c r="G376" s="19" t="n"/>
      <c r="H376" s="19" t="n"/>
      <c r="I376" s="33" t="n"/>
      <c r="J376" s="19" t="n"/>
      <c r="K376" s="19" t="n"/>
    </row>
    <row r="377" ht="18" customHeight="1" s="42">
      <c r="A377" s="11" t="n"/>
      <c r="B377" s="11" t="n"/>
      <c r="C377" s="11" t="n"/>
      <c r="D377" s="11" t="n"/>
      <c r="E377" s="11" t="n"/>
      <c r="F377" s="11" t="n"/>
      <c r="G377" s="11" t="n"/>
      <c r="H377" s="11" t="n"/>
      <c r="I377" s="34" t="n"/>
      <c r="J377" s="11" t="n"/>
      <c r="K377" s="11" t="n"/>
    </row>
    <row r="378" ht="18" customHeight="1" s="42">
      <c r="A378" s="19" t="n"/>
      <c r="B378" s="19" t="n"/>
      <c r="C378" s="19" t="n"/>
      <c r="D378" s="19" t="n"/>
      <c r="E378" s="19" t="n"/>
      <c r="F378" s="19" t="n"/>
      <c r="G378" s="19" t="n"/>
      <c r="H378" s="19" t="n"/>
      <c r="I378" s="33" t="n"/>
      <c r="J378" s="19" t="n"/>
      <c r="K378" s="19" t="n"/>
    </row>
    <row r="379" ht="18" customHeight="1" s="42">
      <c r="A379" s="11" t="n"/>
      <c r="B379" s="11" t="n"/>
      <c r="C379" s="11" t="n"/>
      <c r="D379" s="11" t="n"/>
      <c r="E379" s="11" t="n"/>
      <c r="F379" s="11" t="n"/>
      <c r="G379" s="11" t="n"/>
      <c r="H379" s="11" t="n"/>
      <c r="I379" s="34" t="n"/>
      <c r="J379" s="11" t="n"/>
      <c r="K379" s="11" t="n"/>
    </row>
    <row r="380" ht="18" customHeight="1" s="42">
      <c r="A380" s="19" t="n"/>
      <c r="B380" s="19" t="n"/>
      <c r="C380" s="19" t="n"/>
      <c r="D380" s="19" t="n"/>
      <c r="E380" s="19" t="n"/>
      <c r="F380" s="19" t="n"/>
      <c r="G380" s="19" t="n"/>
      <c r="H380" s="19" t="n"/>
      <c r="I380" s="33" t="n"/>
      <c r="J380" s="19" t="n"/>
      <c r="K380" s="19" t="n"/>
    </row>
    <row r="381" ht="18" customHeight="1" s="42">
      <c r="A381" s="11" t="n"/>
      <c r="B381" s="11" t="n"/>
      <c r="C381" s="11" t="n"/>
      <c r="D381" s="11" t="n"/>
      <c r="E381" s="11" t="n"/>
      <c r="F381" s="11" t="n"/>
      <c r="G381" s="11" t="n"/>
      <c r="H381" s="11" t="n"/>
      <c r="I381" s="34" t="n"/>
      <c r="J381" s="11" t="n"/>
      <c r="K381" s="11" t="n"/>
    </row>
    <row r="382" ht="18" customHeight="1" s="42">
      <c r="A382" s="19" t="n"/>
      <c r="B382" s="19" t="n"/>
      <c r="C382" s="19" t="n"/>
      <c r="D382" s="19" t="n"/>
      <c r="E382" s="19" t="n"/>
      <c r="F382" s="19" t="n"/>
      <c r="G382" s="19" t="n"/>
      <c r="H382" s="19" t="n"/>
      <c r="I382" s="33" t="n"/>
      <c r="J382" s="19" t="n"/>
      <c r="K382" s="19" t="n"/>
    </row>
    <row r="383" ht="18" customHeight="1" s="42">
      <c r="A383" s="11" t="n"/>
      <c r="B383" s="11" t="n"/>
      <c r="C383" s="11" t="n"/>
      <c r="D383" s="11" t="n"/>
      <c r="E383" s="11" t="n"/>
      <c r="F383" s="11" t="n"/>
      <c r="G383" s="11" t="n"/>
      <c r="H383" s="11" t="n"/>
      <c r="I383" s="34" t="n"/>
      <c r="J383" s="11" t="n"/>
      <c r="K383" s="11" t="n"/>
    </row>
    <row r="384" ht="18" customHeight="1" s="42">
      <c r="A384" s="19" t="n"/>
      <c r="B384" s="19" t="n"/>
      <c r="C384" s="19" t="n"/>
      <c r="D384" s="19" t="n"/>
      <c r="E384" s="19" t="n"/>
      <c r="F384" s="19" t="n"/>
      <c r="G384" s="19" t="n"/>
      <c r="H384" s="19" t="n"/>
      <c r="I384" s="33" t="n"/>
      <c r="J384" s="19" t="n"/>
      <c r="K384" s="19" t="n"/>
    </row>
    <row r="385" ht="18" customHeight="1" s="42">
      <c r="A385" s="11" t="n"/>
      <c r="B385" s="11" t="n"/>
      <c r="C385" s="11" t="n"/>
      <c r="D385" s="11" t="n"/>
      <c r="E385" s="11" t="n"/>
      <c r="F385" s="11" t="n"/>
      <c r="G385" s="11" t="n"/>
      <c r="H385" s="11" t="n"/>
      <c r="I385" s="34" t="n"/>
      <c r="J385" s="11" t="n"/>
      <c r="K385" s="11" t="n"/>
    </row>
    <row r="386" ht="18" customHeight="1" s="42">
      <c r="A386" s="19" t="n"/>
      <c r="B386" s="19" t="n"/>
      <c r="C386" s="19" t="n"/>
      <c r="D386" s="19" t="n"/>
      <c r="E386" s="19" t="n"/>
      <c r="F386" s="19" t="n"/>
      <c r="G386" s="19" t="n"/>
      <c r="H386" s="19" t="n"/>
      <c r="I386" s="33" t="n"/>
      <c r="J386" s="19" t="n"/>
      <c r="K386" s="19" t="n"/>
    </row>
    <row r="387" ht="18" customHeight="1" s="42">
      <c r="A387" s="11" t="n"/>
      <c r="B387" s="11" t="n"/>
      <c r="C387" s="11" t="n"/>
      <c r="D387" s="11" t="n"/>
      <c r="E387" s="11" t="n"/>
      <c r="F387" s="11" t="n"/>
      <c r="G387" s="11" t="n"/>
      <c r="H387" s="11" t="n"/>
      <c r="I387" s="34" t="n"/>
      <c r="J387" s="11" t="n"/>
      <c r="K387" s="11" t="n"/>
    </row>
    <row r="388" ht="18" customHeight="1" s="42">
      <c r="A388" s="19" t="n"/>
      <c r="B388" s="19" t="n"/>
      <c r="C388" s="19" t="n"/>
      <c r="D388" s="19" t="n"/>
      <c r="E388" s="19" t="n"/>
      <c r="F388" s="19" t="n"/>
      <c r="G388" s="19" t="n"/>
      <c r="H388" s="19" t="n"/>
      <c r="I388" s="33" t="n"/>
      <c r="J388" s="19" t="n"/>
      <c r="K388" s="19" t="n"/>
    </row>
    <row r="389" ht="18" customHeight="1" s="42">
      <c r="A389" s="11" t="n"/>
      <c r="B389" s="11" t="n"/>
      <c r="C389" s="11" t="n"/>
      <c r="D389" s="11" t="n"/>
      <c r="E389" s="11" t="n"/>
      <c r="F389" s="11" t="n"/>
      <c r="G389" s="11" t="n"/>
      <c r="H389" s="11" t="n"/>
      <c r="I389" s="34" t="n"/>
      <c r="J389" s="11" t="n"/>
      <c r="K389" s="11" t="n"/>
    </row>
    <row r="390" ht="18" customHeight="1" s="42">
      <c r="A390" s="19" t="n"/>
      <c r="B390" s="19" t="n"/>
      <c r="C390" s="19" t="n"/>
      <c r="D390" s="19" t="n"/>
      <c r="E390" s="19" t="n"/>
      <c r="F390" s="19" t="n"/>
      <c r="G390" s="19" t="n"/>
      <c r="H390" s="19" t="n"/>
      <c r="I390" s="33" t="n"/>
      <c r="J390" s="19" t="n"/>
      <c r="K390" s="19" t="n"/>
    </row>
    <row r="391" ht="18" customHeight="1" s="42">
      <c r="A391" s="11" t="n"/>
      <c r="B391" s="11" t="n"/>
      <c r="C391" s="11" t="n"/>
      <c r="D391" s="11" t="n"/>
      <c r="E391" s="11" t="n"/>
      <c r="F391" s="11" t="n"/>
      <c r="G391" s="11" t="n"/>
      <c r="H391" s="11" t="n"/>
      <c r="I391" s="34" t="n"/>
      <c r="J391" s="11" t="n"/>
      <c r="K391" s="11" t="n"/>
    </row>
    <row r="392" ht="18" customHeight="1" s="42">
      <c r="A392" s="19" t="n"/>
      <c r="B392" s="19" t="n"/>
      <c r="C392" s="19" t="n"/>
      <c r="D392" s="19" t="n"/>
      <c r="E392" s="19" t="n"/>
      <c r="F392" s="19" t="n"/>
      <c r="G392" s="19" t="n"/>
      <c r="H392" s="19" t="n"/>
      <c r="I392" s="33" t="n"/>
      <c r="J392" s="19" t="n"/>
      <c r="K392" s="19" t="n"/>
    </row>
    <row r="393" ht="18" customHeight="1" s="42">
      <c r="A393" s="11" t="n"/>
      <c r="B393" s="11" t="n"/>
      <c r="C393" s="11" t="n"/>
      <c r="D393" s="11" t="n"/>
      <c r="E393" s="11" t="n"/>
      <c r="F393" s="11" t="n"/>
      <c r="G393" s="11" t="n"/>
      <c r="H393" s="11" t="n"/>
      <c r="I393" s="34" t="n"/>
      <c r="J393" s="11" t="n"/>
      <c r="K393" s="11" t="n"/>
    </row>
    <row r="394" ht="18" customHeight="1" s="42">
      <c r="A394" s="19" t="n"/>
      <c r="B394" s="19" t="n"/>
      <c r="C394" s="19" t="n"/>
      <c r="D394" s="19" t="n"/>
      <c r="E394" s="19" t="n"/>
      <c r="F394" s="19" t="n"/>
      <c r="G394" s="19" t="n"/>
      <c r="H394" s="19" t="n"/>
      <c r="I394" s="33" t="n"/>
      <c r="J394" s="19" t="n"/>
      <c r="K394" s="19" t="n"/>
    </row>
    <row r="395" ht="18" customHeight="1" s="42">
      <c r="A395" s="11" t="n"/>
      <c r="B395" s="11" t="n"/>
      <c r="C395" s="11" t="n"/>
      <c r="D395" s="11" t="n"/>
      <c r="E395" s="11" t="n"/>
      <c r="F395" s="11" t="n"/>
      <c r="G395" s="11" t="n"/>
      <c r="H395" s="11" t="n"/>
      <c r="I395" s="34" t="n"/>
      <c r="J395" s="11" t="n"/>
      <c r="K395" s="11" t="n"/>
    </row>
    <row r="396" ht="18" customHeight="1" s="42">
      <c r="A396" s="19" t="n"/>
      <c r="B396" s="19" t="n"/>
      <c r="C396" s="19" t="n"/>
      <c r="D396" s="19" t="n"/>
      <c r="E396" s="19" t="n"/>
      <c r="F396" s="19" t="n"/>
      <c r="G396" s="19" t="n"/>
      <c r="H396" s="19" t="n"/>
      <c r="I396" s="33" t="n"/>
      <c r="J396" s="19" t="n"/>
      <c r="K396" s="19" t="n"/>
    </row>
    <row r="397" ht="18" customHeight="1" s="42">
      <c r="A397" s="11" t="n"/>
      <c r="B397" s="11" t="n"/>
      <c r="C397" s="11" t="n"/>
      <c r="D397" s="11" t="n"/>
      <c r="E397" s="11" t="n"/>
      <c r="F397" s="11" t="n"/>
      <c r="G397" s="11" t="n"/>
      <c r="H397" s="11" t="n"/>
      <c r="I397" s="34" t="n"/>
      <c r="J397" s="11" t="n"/>
      <c r="K397" s="11" t="n"/>
    </row>
    <row r="398" ht="18" customHeight="1" s="42">
      <c r="A398" s="19" t="n"/>
      <c r="B398" s="19" t="n"/>
      <c r="C398" s="19" t="n"/>
      <c r="D398" s="19" t="n"/>
      <c r="E398" s="19" t="n"/>
      <c r="F398" s="19" t="n"/>
      <c r="G398" s="19" t="n"/>
      <c r="H398" s="19" t="n"/>
      <c r="I398" s="33" t="n"/>
      <c r="J398" s="19" t="n"/>
      <c r="K398" s="19" t="n"/>
    </row>
    <row r="399" ht="18" customHeight="1" s="42">
      <c r="A399" s="11" t="n"/>
      <c r="B399" s="11" t="n"/>
      <c r="C399" s="11" t="n"/>
      <c r="D399" s="11" t="n"/>
      <c r="E399" s="11" t="n"/>
      <c r="F399" s="11" t="n"/>
      <c r="G399" s="11" t="n"/>
      <c r="H399" s="11" t="n"/>
      <c r="I399" s="34" t="n"/>
      <c r="J399" s="11" t="n"/>
      <c r="K399" s="11" t="n"/>
    </row>
    <row r="400" ht="18" customHeight="1" s="42">
      <c r="A400" s="19" t="n"/>
      <c r="B400" s="19" t="n"/>
      <c r="C400" s="19" t="n"/>
      <c r="D400" s="19" t="n"/>
      <c r="E400" s="19" t="n"/>
      <c r="F400" s="19" t="n"/>
      <c r="G400" s="19" t="n"/>
      <c r="H400" s="19" t="n"/>
      <c r="I400" s="33" t="n"/>
      <c r="J400" s="19" t="n"/>
      <c r="K400" s="19" t="n"/>
    </row>
    <row r="401" ht="18" customHeight="1" s="42">
      <c r="A401" s="11" t="n"/>
      <c r="B401" s="11" t="n"/>
      <c r="C401" s="11" t="n"/>
      <c r="D401" s="11" t="n"/>
      <c r="E401" s="11" t="n"/>
      <c r="F401" s="11" t="n"/>
      <c r="G401" s="11" t="n"/>
      <c r="H401" s="11" t="n"/>
      <c r="I401" s="34" t="n"/>
      <c r="J401" s="11" t="n"/>
      <c r="K401" s="11" t="n"/>
    </row>
    <row r="402" ht="18" customHeight="1" s="42">
      <c r="A402" s="19" t="n"/>
      <c r="B402" s="19" t="n"/>
      <c r="C402" s="19" t="n"/>
      <c r="D402" s="19" t="n"/>
      <c r="E402" s="19" t="n"/>
      <c r="F402" s="19" t="n"/>
      <c r="G402" s="19" t="n"/>
      <c r="H402" s="19" t="n"/>
      <c r="I402" s="33" t="n"/>
      <c r="J402" s="19" t="n"/>
      <c r="K402" s="19" t="n"/>
    </row>
    <row r="403" ht="18" customHeight="1" s="42">
      <c r="A403" s="11" t="n"/>
      <c r="B403" s="11" t="n"/>
      <c r="C403" s="11" t="n"/>
      <c r="D403" s="11" t="n"/>
      <c r="E403" s="11" t="n"/>
      <c r="F403" s="11" t="n"/>
      <c r="G403" s="11" t="n"/>
      <c r="H403" s="11" t="n"/>
      <c r="I403" s="34" t="n"/>
      <c r="J403" s="11" t="n"/>
      <c r="K403" s="11" t="n"/>
    </row>
    <row r="404" ht="18" customHeight="1" s="42">
      <c r="A404" s="19" t="n"/>
      <c r="B404" s="19" t="n"/>
      <c r="C404" s="19" t="n"/>
      <c r="D404" s="19" t="n"/>
      <c r="E404" s="19" t="n"/>
      <c r="F404" s="19" t="n"/>
      <c r="G404" s="19" t="n"/>
      <c r="H404" s="19" t="n"/>
      <c r="I404" s="33" t="n"/>
      <c r="J404" s="19" t="n"/>
      <c r="K404" s="19" t="n"/>
    </row>
    <row r="405" ht="18" customHeight="1" s="42">
      <c r="A405" s="11" t="n"/>
      <c r="B405" s="11" t="n"/>
      <c r="C405" s="11" t="n"/>
      <c r="D405" s="11" t="n"/>
      <c r="E405" s="11" t="n"/>
      <c r="F405" s="11" t="n"/>
      <c r="G405" s="11" t="n"/>
      <c r="H405" s="11" t="n"/>
      <c r="I405" s="34" t="n"/>
      <c r="J405" s="11" t="n"/>
      <c r="K405" s="11" t="n"/>
    </row>
    <row r="406" ht="18" customHeight="1" s="42">
      <c r="A406" s="19" t="n"/>
      <c r="B406" s="19" t="n"/>
      <c r="C406" s="19" t="n"/>
      <c r="D406" s="19" t="n"/>
      <c r="E406" s="19" t="n"/>
      <c r="F406" s="19" t="n"/>
      <c r="G406" s="19" t="n"/>
      <c r="H406" s="19" t="n"/>
      <c r="I406" s="33" t="n"/>
      <c r="J406" s="19" t="n"/>
      <c r="K406" s="19" t="n"/>
    </row>
    <row r="407" ht="18" customHeight="1" s="42">
      <c r="A407" s="11" t="n"/>
      <c r="B407" s="11" t="n"/>
      <c r="C407" s="11" t="n"/>
      <c r="D407" s="11" t="n"/>
      <c r="E407" s="11" t="n"/>
      <c r="F407" s="11" t="n"/>
      <c r="G407" s="11" t="n"/>
      <c r="H407" s="11" t="n"/>
      <c r="I407" s="34" t="n"/>
      <c r="J407" s="11" t="n"/>
      <c r="K407" s="11" t="n"/>
    </row>
    <row r="408" ht="18" customHeight="1" s="42">
      <c r="A408" s="19" t="n"/>
      <c r="B408" s="19" t="n"/>
      <c r="C408" s="19" t="n"/>
      <c r="D408" s="19" t="n"/>
      <c r="E408" s="19" t="n"/>
      <c r="F408" s="19" t="n"/>
      <c r="G408" s="19" t="n"/>
      <c r="H408" s="19" t="n"/>
      <c r="I408" s="33" t="n"/>
      <c r="J408" s="19" t="n"/>
      <c r="K408" s="19" t="n"/>
    </row>
    <row r="409" ht="18" customHeight="1" s="42">
      <c r="A409" s="11" t="n"/>
      <c r="B409" s="11" t="n"/>
      <c r="C409" s="11" t="n"/>
      <c r="D409" s="11" t="n"/>
      <c r="E409" s="11" t="n"/>
      <c r="F409" s="11" t="n"/>
      <c r="G409" s="11" t="n"/>
      <c r="H409" s="11" t="n"/>
      <c r="I409" s="34" t="n"/>
      <c r="J409" s="11" t="n"/>
      <c r="K409" s="11" t="n"/>
    </row>
    <row r="410" ht="18" customHeight="1" s="42">
      <c r="A410" s="19" t="n"/>
      <c r="B410" s="19" t="n"/>
      <c r="C410" s="19" t="n"/>
      <c r="D410" s="19" t="n"/>
      <c r="E410" s="19" t="n"/>
      <c r="F410" s="19" t="n"/>
      <c r="G410" s="19" t="n"/>
      <c r="H410" s="19" t="n"/>
      <c r="I410" s="33" t="n"/>
      <c r="J410" s="19" t="n"/>
      <c r="K410" s="19" t="n"/>
    </row>
    <row r="411" ht="18" customHeight="1" s="42">
      <c r="A411" s="11" t="n"/>
      <c r="B411" s="11" t="n"/>
      <c r="C411" s="11" t="n"/>
      <c r="D411" s="11" t="n"/>
      <c r="E411" s="11" t="n"/>
      <c r="F411" s="11" t="n"/>
      <c r="G411" s="11" t="n"/>
      <c r="H411" s="11" t="n"/>
      <c r="I411" s="34" t="n"/>
      <c r="J411" s="11" t="n"/>
      <c r="K411" s="11" t="n"/>
    </row>
    <row r="412" ht="18" customHeight="1" s="42">
      <c r="A412" s="19" t="n"/>
      <c r="B412" s="19" t="n"/>
      <c r="C412" s="19" t="n"/>
      <c r="D412" s="19" t="n"/>
      <c r="E412" s="19" t="n"/>
      <c r="F412" s="19" t="n"/>
      <c r="G412" s="19" t="n"/>
      <c r="H412" s="19" t="n"/>
      <c r="I412" s="33" t="n"/>
      <c r="J412" s="19" t="n"/>
      <c r="K412" s="19" t="n"/>
    </row>
    <row r="413" ht="18" customHeight="1" s="42">
      <c r="A413" s="11" t="n"/>
      <c r="B413" s="11" t="n"/>
      <c r="C413" s="11" t="n"/>
      <c r="D413" s="11" t="n"/>
      <c r="E413" s="11" t="n"/>
      <c r="F413" s="11" t="n"/>
      <c r="G413" s="11" t="n"/>
      <c r="H413" s="11" t="n"/>
      <c r="I413" s="34" t="n"/>
      <c r="J413" s="11" t="n"/>
      <c r="K413" s="11" t="n"/>
    </row>
    <row r="414" ht="18" customHeight="1" s="42">
      <c r="A414" s="19" t="n"/>
      <c r="B414" s="19" t="n"/>
      <c r="C414" s="19" t="n"/>
      <c r="D414" s="19" t="n"/>
      <c r="E414" s="19" t="n"/>
      <c r="F414" s="19" t="n"/>
      <c r="G414" s="19" t="n"/>
      <c r="H414" s="19" t="n"/>
      <c r="I414" s="33" t="n"/>
      <c r="J414" s="19" t="n"/>
      <c r="K414" s="19" t="n"/>
    </row>
    <row r="415" ht="18" customHeight="1" s="42">
      <c r="A415" s="11" t="n"/>
      <c r="B415" s="11" t="n"/>
      <c r="C415" s="11" t="n"/>
      <c r="D415" s="11" t="n"/>
      <c r="E415" s="11" t="n"/>
      <c r="F415" s="11" t="n"/>
      <c r="G415" s="11" t="n"/>
      <c r="H415" s="11" t="n"/>
      <c r="I415" s="34" t="n"/>
      <c r="J415" s="11" t="n"/>
      <c r="K415" s="11" t="n"/>
    </row>
    <row r="416" ht="18" customHeight="1" s="42">
      <c r="A416" s="19" t="n"/>
      <c r="B416" s="19" t="n"/>
      <c r="C416" s="19" t="n"/>
      <c r="D416" s="19" t="n"/>
      <c r="E416" s="19" t="n"/>
      <c r="F416" s="19" t="n"/>
      <c r="G416" s="19" t="n"/>
      <c r="H416" s="19" t="n"/>
      <c r="I416" s="33" t="n"/>
      <c r="J416" s="19" t="n"/>
      <c r="K416" s="19" t="n"/>
    </row>
    <row r="417" ht="18" customHeight="1" s="42">
      <c r="A417" s="11" t="n"/>
      <c r="B417" s="11" t="n"/>
      <c r="C417" s="11" t="n"/>
      <c r="D417" s="11" t="n"/>
      <c r="E417" s="11" t="n"/>
      <c r="F417" s="11" t="n"/>
      <c r="G417" s="11" t="n"/>
      <c r="H417" s="11" t="n"/>
      <c r="I417" s="34" t="n"/>
      <c r="J417" s="11" t="n"/>
      <c r="K417" s="11" t="n"/>
    </row>
    <row r="418" ht="18" customHeight="1" s="42">
      <c r="A418" s="19" t="n"/>
      <c r="B418" s="19" t="n"/>
      <c r="C418" s="19" t="n"/>
      <c r="D418" s="19" t="n"/>
      <c r="E418" s="19" t="n"/>
      <c r="F418" s="19" t="n"/>
      <c r="G418" s="19" t="n"/>
      <c r="H418" s="19" t="n"/>
      <c r="I418" s="33" t="n"/>
      <c r="J418" s="19" t="n"/>
      <c r="K418" s="19" t="n"/>
    </row>
    <row r="419" ht="18" customHeight="1" s="42">
      <c r="A419" s="11" t="n"/>
      <c r="B419" s="11" t="n"/>
      <c r="C419" s="11" t="n"/>
      <c r="D419" s="11" t="n"/>
      <c r="E419" s="11" t="n"/>
      <c r="F419" s="11" t="n"/>
      <c r="G419" s="11" t="n"/>
      <c r="H419" s="11" t="n"/>
      <c r="I419" s="34" t="n"/>
      <c r="J419" s="11" t="n"/>
      <c r="K419" s="11" t="n"/>
    </row>
    <row r="420" ht="18" customHeight="1" s="42">
      <c r="A420" s="19" t="n"/>
      <c r="B420" s="19" t="n"/>
      <c r="C420" s="19" t="n"/>
      <c r="D420" s="19" t="n"/>
      <c r="E420" s="19" t="n"/>
      <c r="F420" s="19" t="n"/>
      <c r="G420" s="19" t="n"/>
      <c r="H420" s="19" t="n"/>
      <c r="I420" s="33" t="n"/>
      <c r="J420" s="19" t="n"/>
      <c r="K420" s="19" t="n"/>
    </row>
    <row r="421" ht="18" customHeight="1" s="42">
      <c r="A421" s="11" t="n"/>
      <c r="B421" s="11" t="n"/>
      <c r="C421" s="11" t="n"/>
      <c r="D421" s="11" t="n"/>
      <c r="E421" s="11" t="n"/>
      <c r="F421" s="11" t="n"/>
      <c r="G421" s="11" t="n"/>
      <c r="H421" s="11" t="n"/>
      <c r="I421" s="34" t="n"/>
      <c r="J421" s="11" t="n"/>
      <c r="K421" s="11" t="n"/>
    </row>
    <row r="422" ht="18" customHeight="1" s="42">
      <c r="A422" s="19" t="n"/>
      <c r="B422" s="19" t="n"/>
      <c r="C422" s="19" t="n"/>
      <c r="D422" s="19" t="n"/>
      <c r="E422" s="19" t="n"/>
      <c r="F422" s="19" t="n"/>
      <c r="G422" s="19" t="n"/>
      <c r="H422" s="19" t="n"/>
      <c r="I422" s="33" t="n"/>
      <c r="J422" s="19" t="n"/>
      <c r="K422" s="19" t="n"/>
    </row>
    <row r="423" ht="18" customHeight="1" s="42">
      <c r="A423" s="11" t="n"/>
      <c r="B423" s="11" t="n"/>
      <c r="C423" s="11" t="n"/>
      <c r="D423" s="11" t="n"/>
      <c r="E423" s="11" t="n"/>
      <c r="F423" s="11" t="n"/>
      <c r="G423" s="11" t="n"/>
      <c r="H423" s="11" t="n"/>
      <c r="I423" s="34" t="n"/>
      <c r="J423" s="11" t="n"/>
      <c r="K423" s="11" t="n"/>
    </row>
    <row r="424" ht="18" customHeight="1" s="42">
      <c r="A424" s="19" t="n"/>
      <c r="B424" s="19" t="n"/>
      <c r="C424" s="19" t="n"/>
      <c r="D424" s="19" t="n"/>
      <c r="E424" s="19" t="n"/>
      <c r="F424" s="19" t="n"/>
      <c r="G424" s="19" t="n"/>
      <c r="H424" s="19" t="n"/>
      <c r="I424" s="33" t="n"/>
      <c r="J424" s="19" t="n"/>
      <c r="K424" s="19" t="n"/>
    </row>
    <row r="425" ht="18" customHeight="1" s="42">
      <c r="A425" s="11" t="n"/>
      <c r="B425" s="11" t="n"/>
      <c r="C425" s="11" t="n"/>
      <c r="D425" s="11" t="n"/>
      <c r="E425" s="11" t="n"/>
      <c r="F425" s="11" t="n"/>
      <c r="G425" s="11" t="n"/>
      <c r="H425" s="11" t="n"/>
      <c r="I425" s="34" t="n"/>
      <c r="J425" s="11" t="n"/>
      <c r="K425" s="11" t="n"/>
    </row>
    <row r="426" ht="18" customHeight="1" s="42">
      <c r="A426" s="19" t="n"/>
      <c r="B426" s="19" t="n"/>
      <c r="C426" s="19" t="n"/>
      <c r="D426" s="19" t="n"/>
      <c r="E426" s="19" t="n"/>
      <c r="F426" s="19" t="n"/>
      <c r="G426" s="19" t="n"/>
      <c r="H426" s="19" t="n"/>
      <c r="I426" s="33" t="n"/>
      <c r="J426" s="19" t="n"/>
      <c r="K426" s="19" t="n"/>
    </row>
    <row r="427" ht="18" customHeight="1" s="42">
      <c r="A427" s="11" t="n"/>
      <c r="B427" s="11" t="n"/>
      <c r="C427" s="11" t="n"/>
      <c r="D427" s="11" t="n"/>
      <c r="E427" s="11" t="n"/>
      <c r="F427" s="11" t="n"/>
      <c r="G427" s="11" t="n"/>
      <c r="H427" s="11" t="n"/>
      <c r="I427" s="34" t="n"/>
      <c r="J427" s="11" t="n"/>
      <c r="K427" s="11" t="n"/>
    </row>
    <row r="428" ht="18" customHeight="1" s="42">
      <c r="A428" s="19" t="n"/>
      <c r="B428" s="19" t="n"/>
      <c r="C428" s="19" t="n"/>
      <c r="D428" s="19" t="n"/>
      <c r="E428" s="19" t="n"/>
      <c r="F428" s="19" t="n"/>
      <c r="G428" s="19" t="n"/>
      <c r="H428" s="19" t="n"/>
      <c r="I428" s="33" t="n"/>
      <c r="J428" s="19" t="n"/>
      <c r="K428" s="19" t="n"/>
    </row>
    <row r="429" ht="18" customHeight="1" s="42">
      <c r="A429" s="11" t="n"/>
      <c r="B429" s="11" t="n"/>
      <c r="C429" s="11" t="n"/>
      <c r="D429" s="11" t="n"/>
      <c r="E429" s="11" t="n"/>
      <c r="F429" s="11" t="n"/>
      <c r="G429" s="11" t="n"/>
      <c r="H429" s="11" t="n"/>
      <c r="I429" s="34" t="n"/>
      <c r="J429" s="11" t="n"/>
      <c r="K429" s="11" t="n"/>
    </row>
    <row r="430" ht="18" customHeight="1" s="42">
      <c r="A430" s="19" t="n"/>
      <c r="B430" s="19" t="n"/>
      <c r="C430" s="19" t="n"/>
      <c r="D430" s="19" t="n"/>
      <c r="E430" s="19" t="n"/>
      <c r="F430" s="19" t="n"/>
      <c r="G430" s="19" t="n"/>
      <c r="H430" s="19" t="n"/>
      <c r="I430" s="33" t="n"/>
      <c r="J430" s="19" t="n"/>
      <c r="K430" s="19" t="n"/>
    </row>
    <row r="431" ht="18" customHeight="1" s="42">
      <c r="A431" s="11" t="n"/>
      <c r="B431" s="11" t="n"/>
      <c r="C431" s="11" t="n"/>
      <c r="D431" s="11" t="n"/>
      <c r="E431" s="11" t="n"/>
      <c r="F431" s="11" t="n"/>
      <c r="G431" s="11" t="n"/>
      <c r="H431" s="11" t="n"/>
      <c r="I431" s="34" t="n"/>
      <c r="J431" s="11" t="n"/>
      <c r="K431" s="11" t="n"/>
    </row>
    <row r="432" ht="18" customHeight="1" s="42">
      <c r="A432" s="19" t="n"/>
      <c r="B432" s="19" t="n"/>
      <c r="C432" s="19" t="n"/>
      <c r="D432" s="19" t="n"/>
      <c r="E432" s="19" t="n"/>
      <c r="F432" s="19" t="n"/>
      <c r="G432" s="19" t="n"/>
      <c r="H432" s="19" t="n"/>
      <c r="I432" s="33" t="n"/>
      <c r="J432" s="19" t="n"/>
      <c r="K432" s="19" t="n"/>
    </row>
    <row r="433" ht="18" customHeight="1" s="42">
      <c r="A433" s="11" t="n"/>
      <c r="B433" s="11" t="n"/>
      <c r="C433" s="11" t="n"/>
      <c r="D433" s="11" t="n"/>
      <c r="E433" s="11" t="n"/>
      <c r="F433" s="11" t="n"/>
      <c r="G433" s="11" t="n"/>
      <c r="H433" s="11" t="n"/>
      <c r="I433" s="34" t="n"/>
      <c r="J433" s="11" t="n"/>
      <c r="K433" s="11" t="n"/>
    </row>
    <row r="434" ht="18" customHeight="1" s="42">
      <c r="A434" s="19" t="n"/>
      <c r="B434" s="19" t="n"/>
      <c r="C434" s="19" t="n"/>
      <c r="D434" s="19" t="n"/>
      <c r="E434" s="19" t="n"/>
      <c r="F434" s="19" t="n"/>
      <c r="G434" s="19" t="n"/>
      <c r="H434" s="19" t="n"/>
      <c r="I434" s="33" t="n"/>
      <c r="J434" s="19" t="n"/>
      <c r="K434" s="19" t="n"/>
    </row>
    <row r="435" ht="18" customHeight="1" s="42">
      <c r="A435" s="11" t="n"/>
      <c r="B435" s="11" t="n"/>
      <c r="C435" s="11" t="n"/>
      <c r="D435" s="11" t="n"/>
      <c r="E435" s="11" t="n"/>
      <c r="F435" s="11" t="n"/>
      <c r="G435" s="11" t="n"/>
      <c r="H435" s="11" t="n"/>
      <c r="I435" s="34" t="n"/>
      <c r="J435" s="11" t="n"/>
      <c r="K435" s="11" t="n"/>
    </row>
    <row r="436" ht="18" customHeight="1" s="42">
      <c r="A436" s="19" t="n"/>
      <c r="B436" s="19" t="n"/>
      <c r="C436" s="19" t="n"/>
      <c r="D436" s="19" t="n"/>
      <c r="E436" s="19" t="n"/>
      <c r="F436" s="19" t="n"/>
      <c r="G436" s="19" t="n"/>
      <c r="H436" s="19" t="n"/>
      <c r="I436" s="33" t="n"/>
      <c r="J436" s="19" t="n"/>
      <c r="K436" s="19" t="n"/>
    </row>
    <row r="437" ht="18" customHeight="1" s="42">
      <c r="A437" s="11" t="n"/>
      <c r="B437" s="11" t="n"/>
      <c r="C437" s="11" t="n"/>
      <c r="D437" s="11" t="n"/>
      <c r="E437" s="11" t="n"/>
      <c r="F437" s="11" t="n"/>
      <c r="G437" s="11" t="n"/>
      <c r="H437" s="11" t="n"/>
      <c r="I437" s="34" t="n"/>
      <c r="J437" s="11" t="n"/>
      <c r="K437" s="11" t="n"/>
    </row>
    <row r="438" ht="18" customHeight="1" s="42">
      <c r="A438" s="19" t="n"/>
      <c r="B438" s="19" t="n"/>
      <c r="C438" s="19" t="n"/>
      <c r="D438" s="19" t="n"/>
      <c r="E438" s="19" t="n"/>
      <c r="F438" s="19" t="n"/>
      <c r="G438" s="19" t="n"/>
      <c r="H438" s="19" t="n"/>
      <c r="I438" s="33" t="n"/>
      <c r="J438" s="19" t="n"/>
      <c r="K438" s="19" t="n"/>
    </row>
    <row r="439" ht="18" customHeight="1" s="42">
      <c r="A439" s="11" t="n"/>
      <c r="B439" s="11" t="n"/>
      <c r="C439" s="11" t="n"/>
      <c r="D439" s="11" t="n"/>
      <c r="E439" s="11" t="n"/>
      <c r="F439" s="11" t="n"/>
      <c r="G439" s="11" t="n"/>
      <c r="H439" s="11" t="n"/>
      <c r="I439" s="34" t="n"/>
      <c r="J439" s="11" t="n"/>
      <c r="K439" s="11" t="n"/>
    </row>
    <row r="440" ht="18" customHeight="1" s="42">
      <c r="A440" s="19" t="n"/>
      <c r="B440" s="19" t="n"/>
      <c r="C440" s="19" t="n"/>
      <c r="D440" s="19" t="n"/>
      <c r="E440" s="19" t="n"/>
      <c r="F440" s="19" t="n"/>
      <c r="G440" s="19" t="n"/>
      <c r="H440" s="19" t="n"/>
      <c r="I440" s="33" t="n"/>
      <c r="J440" s="19" t="n"/>
      <c r="K440" s="19" t="n"/>
    </row>
    <row r="441" ht="18" customHeight="1" s="42">
      <c r="A441" s="11" t="n"/>
      <c r="B441" s="11" t="n"/>
      <c r="C441" s="11" t="n"/>
      <c r="D441" s="11" t="n"/>
      <c r="E441" s="11" t="n"/>
      <c r="F441" s="11" t="n"/>
      <c r="G441" s="11" t="n"/>
      <c r="H441" s="11" t="n"/>
      <c r="I441" s="34" t="n"/>
      <c r="J441" s="11" t="n"/>
      <c r="K441" s="11" t="n"/>
    </row>
    <row r="442" ht="18" customHeight="1" s="42">
      <c r="A442" s="19" t="n"/>
      <c r="B442" s="19" t="n"/>
      <c r="C442" s="19" t="n"/>
      <c r="D442" s="19" t="n"/>
      <c r="E442" s="19" t="n"/>
      <c r="F442" s="19" t="n"/>
      <c r="G442" s="19" t="n"/>
      <c r="H442" s="19" t="n"/>
      <c r="I442" s="33" t="n"/>
      <c r="J442" s="19" t="n"/>
      <c r="K442" s="19" t="n"/>
    </row>
    <row r="443" ht="18" customHeight="1" s="42">
      <c r="A443" s="11" t="n"/>
      <c r="B443" s="11" t="n"/>
      <c r="C443" s="11" t="n"/>
      <c r="D443" s="11" t="n"/>
      <c r="E443" s="11" t="n"/>
      <c r="F443" s="11" t="n"/>
      <c r="G443" s="11" t="n"/>
      <c r="H443" s="11" t="n"/>
      <c r="I443" s="34" t="n"/>
      <c r="J443" s="11" t="n"/>
      <c r="K443" s="11" t="n"/>
    </row>
    <row r="444" ht="18" customHeight="1" s="42">
      <c r="A444" s="19" t="n"/>
      <c r="B444" s="19" t="n"/>
      <c r="C444" s="19" t="n"/>
      <c r="D444" s="19" t="n"/>
      <c r="E444" s="19" t="n"/>
      <c r="F444" s="19" t="n"/>
      <c r="G444" s="19" t="n"/>
      <c r="H444" s="19" t="n"/>
      <c r="I444" s="33" t="n"/>
      <c r="J444" s="19" t="n"/>
      <c r="K444" s="19" t="n"/>
    </row>
    <row r="445" ht="18" customHeight="1" s="42">
      <c r="A445" s="11" t="n"/>
      <c r="B445" s="11" t="n"/>
      <c r="C445" s="11" t="n"/>
      <c r="D445" s="11" t="n"/>
      <c r="E445" s="11" t="n"/>
      <c r="F445" s="11" t="n"/>
      <c r="G445" s="11" t="n"/>
      <c r="H445" s="11" t="n"/>
      <c r="I445" s="34" t="n"/>
      <c r="J445" s="11" t="n"/>
      <c r="K445" s="11" t="n"/>
    </row>
    <row r="446" ht="18" customHeight="1" s="42">
      <c r="A446" s="19" t="n"/>
      <c r="B446" s="19" t="n"/>
      <c r="C446" s="19" t="n"/>
      <c r="D446" s="19" t="n"/>
      <c r="E446" s="19" t="n"/>
      <c r="F446" s="19" t="n"/>
      <c r="G446" s="19" t="n"/>
      <c r="H446" s="19" t="n"/>
      <c r="I446" s="33" t="n"/>
      <c r="J446" s="19" t="n"/>
      <c r="K446" s="19" t="n"/>
    </row>
    <row r="447" ht="18" customHeight="1" s="42">
      <c r="A447" s="11" t="n"/>
      <c r="B447" s="11" t="n"/>
      <c r="C447" s="11" t="n"/>
      <c r="D447" s="11" t="n"/>
      <c r="E447" s="11" t="n"/>
      <c r="F447" s="11" t="n"/>
      <c r="G447" s="11" t="n"/>
      <c r="H447" s="11" t="n"/>
      <c r="I447" s="34" t="n"/>
      <c r="J447" s="11" t="n"/>
      <c r="K447" s="11" t="n"/>
    </row>
    <row r="448" ht="18" customHeight="1" s="42">
      <c r="A448" s="19" t="n"/>
      <c r="B448" s="19" t="n"/>
      <c r="C448" s="19" t="n"/>
      <c r="D448" s="19" t="n"/>
      <c r="E448" s="19" t="n"/>
      <c r="F448" s="19" t="n"/>
      <c r="G448" s="19" t="n"/>
      <c r="H448" s="19" t="n"/>
      <c r="I448" s="33" t="n"/>
      <c r="J448" s="19" t="n"/>
      <c r="K448" s="19" t="n"/>
    </row>
    <row r="449" ht="18" customHeight="1" s="42">
      <c r="A449" s="11" t="n"/>
      <c r="B449" s="11" t="n"/>
      <c r="C449" s="11" t="n"/>
      <c r="D449" s="11" t="n"/>
      <c r="E449" s="11" t="n"/>
      <c r="F449" s="11" t="n"/>
      <c r="G449" s="11" t="n"/>
      <c r="H449" s="11" t="n"/>
      <c r="I449" s="34" t="n"/>
      <c r="J449" s="11" t="n"/>
      <c r="K449" s="11" t="n"/>
    </row>
    <row r="450" ht="18" customHeight="1" s="42">
      <c r="A450" s="19" t="n"/>
      <c r="B450" s="19" t="n"/>
      <c r="C450" s="19" t="n"/>
      <c r="D450" s="19" t="n"/>
      <c r="E450" s="19" t="n"/>
      <c r="F450" s="19" t="n"/>
      <c r="G450" s="19" t="n"/>
      <c r="H450" s="19" t="n"/>
      <c r="I450" s="33" t="n"/>
      <c r="J450" s="19" t="n"/>
      <c r="K450" s="19" t="n"/>
    </row>
    <row r="451" ht="18" customHeight="1" s="42">
      <c r="A451" s="11" t="n"/>
      <c r="B451" s="11" t="n"/>
      <c r="C451" s="11" t="n"/>
      <c r="D451" s="11" t="n"/>
      <c r="E451" s="11" t="n"/>
      <c r="F451" s="11" t="n"/>
      <c r="G451" s="11" t="n"/>
      <c r="H451" s="11" t="n"/>
      <c r="I451" s="34" t="n"/>
      <c r="J451" s="11" t="n"/>
      <c r="K451" s="11" t="n"/>
    </row>
    <row r="452" ht="18" customHeight="1" s="42">
      <c r="A452" s="19" t="n"/>
      <c r="B452" s="19" t="n"/>
      <c r="C452" s="19" t="n"/>
      <c r="D452" s="19" t="n"/>
      <c r="E452" s="19" t="n"/>
      <c r="F452" s="19" t="n"/>
      <c r="G452" s="19" t="n"/>
      <c r="H452" s="19" t="n"/>
      <c r="I452" s="33" t="n"/>
      <c r="J452" s="19" t="n"/>
      <c r="K452" s="19" t="n"/>
    </row>
    <row r="453" ht="18" customHeight="1" s="42">
      <c r="A453" s="11" t="n"/>
      <c r="B453" s="11" t="n"/>
      <c r="C453" s="11" t="n"/>
      <c r="D453" s="11" t="n"/>
      <c r="E453" s="11" t="n"/>
      <c r="F453" s="11" t="n"/>
      <c r="G453" s="11" t="n"/>
      <c r="H453" s="11" t="n"/>
      <c r="I453" s="34" t="n"/>
      <c r="J453" s="11" t="n"/>
      <c r="K453" s="11" t="n"/>
    </row>
    <row r="454" ht="18" customHeight="1" s="42">
      <c r="A454" s="19" t="n"/>
      <c r="B454" s="19" t="n"/>
      <c r="C454" s="19" t="n"/>
      <c r="D454" s="19" t="n"/>
      <c r="E454" s="19" t="n"/>
      <c r="F454" s="19" t="n"/>
      <c r="G454" s="19" t="n"/>
      <c r="H454" s="19" t="n"/>
      <c r="I454" s="33" t="n"/>
      <c r="J454" s="19" t="n"/>
      <c r="K454" s="19" t="n"/>
    </row>
    <row r="455" ht="18" customHeight="1" s="42">
      <c r="A455" s="11" t="n"/>
      <c r="B455" s="11" t="n"/>
      <c r="C455" s="11" t="n"/>
      <c r="D455" s="11" t="n"/>
      <c r="E455" s="11" t="n"/>
      <c r="F455" s="11" t="n"/>
      <c r="G455" s="11" t="n"/>
      <c r="H455" s="11" t="n"/>
      <c r="I455" s="34" t="n"/>
      <c r="J455" s="11" t="n"/>
      <c r="K455" s="11" t="n"/>
    </row>
    <row r="456" ht="18" customHeight="1" s="42">
      <c r="A456" s="19" t="n"/>
      <c r="B456" s="19" t="n"/>
      <c r="C456" s="19" t="n"/>
      <c r="D456" s="19" t="n"/>
      <c r="E456" s="19" t="n"/>
      <c r="F456" s="19" t="n"/>
      <c r="G456" s="19" t="n"/>
      <c r="H456" s="19" t="n"/>
      <c r="I456" s="33" t="n"/>
      <c r="J456" s="19" t="n"/>
      <c r="K456" s="19" t="n"/>
    </row>
    <row r="457" ht="18" customHeight="1" s="42">
      <c r="A457" s="11" t="n"/>
      <c r="B457" s="11" t="n"/>
      <c r="C457" s="11" t="n"/>
      <c r="D457" s="11" t="n"/>
      <c r="E457" s="11" t="n"/>
      <c r="F457" s="11" t="n"/>
      <c r="G457" s="11" t="n"/>
      <c r="H457" s="11" t="n"/>
      <c r="I457" s="34" t="n"/>
      <c r="J457" s="11" t="n"/>
      <c r="K457" s="11" t="n"/>
    </row>
    <row r="458" ht="18" customHeight="1" s="42">
      <c r="A458" s="19" t="n"/>
      <c r="B458" s="19" t="n"/>
      <c r="C458" s="19" t="n"/>
      <c r="D458" s="19" t="n"/>
      <c r="E458" s="19" t="n"/>
      <c r="F458" s="19" t="n"/>
      <c r="G458" s="19" t="n"/>
      <c r="H458" s="19" t="n"/>
      <c r="I458" s="33" t="n"/>
      <c r="J458" s="19" t="n"/>
      <c r="K458" s="19" t="n"/>
    </row>
    <row r="459" ht="18" customHeight="1" s="42">
      <c r="A459" s="11" t="n"/>
      <c r="B459" s="11" t="n"/>
      <c r="C459" s="11" t="n"/>
      <c r="D459" s="11" t="n"/>
      <c r="E459" s="11" t="n"/>
      <c r="F459" s="11" t="n"/>
      <c r="G459" s="11" t="n"/>
      <c r="H459" s="11" t="n"/>
      <c r="I459" s="34" t="n"/>
      <c r="J459" s="11" t="n"/>
      <c r="K459" s="11" t="n"/>
    </row>
    <row r="460" ht="18" customHeight="1" s="42">
      <c r="A460" s="19" t="n"/>
      <c r="B460" s="19" t="n"/>
      <c r="C460" s="19" t="n"/>
      <c r="D460" s="19" t="n"/>
      <c r="E460" s="19" t="n"/>
      <c r="F460" s="19" t="n"/>
      <c r="G460" s="19" t="n"/>
      <c r="H460" s="19" t="n"/>
      <c r="I460" s="33" t="n"/>
      <c r="J460" s="19" t="n"/>
      <c r="K460" s="19" t="n"/>
    </row>
    <row r="461" ht="18" customHeight="1" s="42">
      <c r="A461" s="11" t="n"/>
      <c r="B461" s="11" t="n"/>
      <c r="C461" s="11" t="n"/>
      <c r="D461" s="11" t="n"/>
      <c r="E461" s="11" t="n"/>
      <c r="F461" s="11" t="n"/>
      <c r="G461" s="11" t="n"/>
      <c r="H461" s="11" t="n"/>
      <c r="I461" s="34" t="n"/>
      <c r="J461" s="11" t="n"/>
      <c r="K461" s="11" t="n"/>
    </row>
    <row r="462" ht="18" customHeight="1" s="42">
      <c r="A462" s="19" t="n"/>
      <c r="B462" s="19" t="n"/>
      <c r="C462" s="19" t="n"/>
      <c r="D462" s="19" t="n"/>
      <c r="E462" s="19" t="n"/>
      <c r="F462" s="19" t="n"/>
      <c r="G462" s="19" t="n"/>
      <c r="H462" s="19" t="n"/>
      <c r="I462" s="33" t="n"/>
      <c r="J462" s="19" t="n"/>
      <c r="K462" s="19" t="n"/>
    </row>
    <row r="463" ht="18" customHeight="1" s="42">
      <c r="A463" s="11" t="n"/>
      <c r="B463" s="11" t="n"/>
      <c r="C463" s="11" t="n"/>
      <c r="D463" s="11" t="n"/>
      <c r="E463" s="11" t="n"/>
      <c r="F463" s="11" t="n"/>
      <c r="G463" s="11" t="n"/>
      <c r="H463" s="11" t="n"/>
      <c r="I463" s="34" t="n"/>
      <c r="J463" s="11" t="n"/>
      <c r="K463" s="11" t="n"/>
    </row>
    <row r="464" ht="18" customHeight="1" s="42">
      <c r="A464" s="19" t="n"/>
      <c r="B464" s="19" t="n"/>
      <c r="C464" s="19" t="n"/>
      <c r="D464" s="19" t="n"/>
      <c r="E464" s="19" t="n"/>
      <c r="F464" s="19" t="n"/>
      <c r="G464" s="19" t="n"/>
      <c r="H464" s="19" t="n"/>
      <c r="I464" s="33" t="n"/>
      <c r="J464" s="19" t="n"/>
      <c r="K464" s="19" t="n"/>
    </row>
    <row r="465" ht="18" customHeight="1" s="42">
      <c r="A465" s="11" t="n"/>
      <c r="B465" s="11" t="n"/>
      <c r="C465" s="11" t="n"/>
      <c r="D465" s="11" t="n"/>
      <c r="E465" s="11" t="n"/>
      <c r="F465" s="11" t="n"/>
      <c r="G465" s="11" t="n"/>
      <c r="H465" s="11" t="n"/>
      <c r="I465" s="34" t="n"/>
      <c r="J465" s="11" t="n"/>
      <c r="K465" s="11" t="n"/>
    </row>
    <row r="466" ht="18" customHeight="1" s="42">
      <c r="A466" s="19" t="n"/>
      <c r="B466" s="19" t="n"/>
      <c r="C466" s="19" t="n"/>
      <c r="D466" s="19" t="n"/>
      <c r="E466" s="19" t="n"/>
      <c r="F466" s="19" t="n"/>
      <c r="G466" s="19" t="n"/>
      <c r="H466" s="19" t="n"/>
      <c r="I466" s="33" t="n"/>
      <c r="J466" s="19" t="n"/>
      <c r="K466" s="19" t="n"/>
    </row>
    <row r="467" ht="18" customHeight="1" s="42">
      <c r="A467" s="11" t="n"/>
      <c r="B467" s="11" t="n"/>
      <c r="C467" s="11" t="n"/>
      <c r="D467" s="11" t="n"/>
      <c r="E467" s="11" t="n"/>
      <c r="F467" s="11" t="n"/>
      <c r="G467" s="11" t="n"/>
      <c r="H467" s="11" t="n"/>
      <c r="I467" s="34" t="n"/>
      <c r="J467" s="11" t="n"/>
      <c r="K467" s="11" t="n"/>
    </row>
    <row r="468" ht="18" customHeight="1" s="42">
      <c r="A468" s="19" t="n"/>
      <c r="B468" s="19" t="n"/>
      <c r="C468" s="19" t="n"/>
      <c r="D468" s="19" t="n"/>
      <c r="E468" s="19" t="n"/>
      <c r="F468" s="19" t="n"/>
      <c r="G468" s="19" t="n"/>
      <c r="H468" s="19" t="n"/>
      <c r="I468" s="33" t="n"/>
      <c r="J468" s="19" t="n"/>
      <c r="K468" s="19" t="n"/>
    </row>
    <row r="469" ht="18" customHeight="1" s="42">
      <c r="A469" s="11" t="n"/>
      <c r="B469" s="11" t="n"/>
      <c r="C469" s="11" t="n"/>
      <c r="D469" s="11" t="n"/>
      <c r="E469" s="11" t="n"/>
      <c r="F469" s="11" t="n"/>
      <c r="G469" s="11" t="n"/>
      <c r="H469" s="11" t="n"/>
      <c r="I469" s="34" t="n"/>
      <c r="J469" s="11" t="n"/>
      <c r="K469" s="11" t="n"/>
    </row>
    <row r="470" ht="18" customHeight="1" s="42">
      <c r="A470" s="19" t="n"/>
      <c r="B470" s="19" t="n"/>
      <c r="C470" s="19" t="n"/>
      <c r="D470" s="19" t="n"/>
      <c r="E470" s="19" t="n"/>
      <c r="F470" s="19" t="n"/>
      <c r="G470" s="19" t="n"/>
      <c r="H470" s="19" t="n"/>
      <c r="I470" s="33" t="n"/>
      <c r="J470" s="19" t="n"/>
      <c r="K470" s="19" t="n"/>
    </row>
    <row r="471" ht="18" customHeight="1" s="42">
      <c r="A471" s="11" t="n"/>
      <c r="B471" s="11" t="n"/>
      <c r="C471" s="11" t="n"/>
      <c r="D471" s="11" t="n"/>
      <c r="E471" s="11" t="n"/>
      <c r="F471" s="11" t="n"/>
      <c r="G471" s="11" t="n"/>
      <c r="H471" s="11" t="n"/>
      <c r="I471" s="34" t="n"/>
      <c r="J471" s="11" t="n"/>
      <c r="K471" s="11" t="n"/>
    </row>
    <row r="472" ht="18" customHeight="1" s="42">
      <c r="A472" s="19" t="n"/>
      <c r="B472" s="19" t="n"/>
      <c r="C472" s="19" t="n"/>
      <c r="D472" s="19" t="n"/>
      <c r="E472" s="19" t="n"/>
      <c r="F472" s="19" t="n"/>
      <c r="G472" s="19" t="n"/>
      <c r="H472" s="19" t="n"/>
      <c r="I472" s="33" t="n"/>
      <c r="J472" s="19" t="n"/>
      <c r="K472" s="19" t="n"/>
    </row>
    <row r="473" ht="18" customHeight="1" s="42">
      <c r="A473" s="11" t="n"/>
      <c r="B473" s="11" t="n"/>
      <c r="C473" s="11" t="n"/>
      <c r="D473" s="11" t="n"/>
      <c r="E473" s="11" t="n"/>
      <c r="F473" s="11" t="n"/>
      <c r="G473" s="11" t="n"/>
      <c r="H473" s="11" t="n"/>
      <c r="I473" s="34" t="n"/>
      <c r="J473" s="11" t="n"/>
      <c r="K473" s="11" t="n"/>
    </row>
    <row r="474" ht="18" customHeight="1" s="42">
      <c r="A474" s="19" t="n"/>
      <c r="B474" s="19" t="n"/>
      <c r="C474" s="19" t="n"/>
      <c r="D474" s="19" t="n"/>
      <c r="E474" s="19" t="n"/>
      <c r="F474" s="19" t="n"/>
      <c r="G474" s="19" t="n"/>
      <c r="H474" s="19" t="n"/>
      <c r="I474" s="33" t="n"/>
      <c r="J474" s="19" t="n"/>
      <c r="K474" s="19" t="n"/>
    </row>
    <row r="475" ht="18" customHeight="1" s="42">
      <c r="A475" s="11" t="n"/>
      <c r="B475" s="11" t="n"/>
      <c r="C475" s="11" t="n"/>
      <c r="D475" s="11" t="n"/>
      <c r="E475" s="11" t="n"/>
      <c r="F475" s="11" t="n"/>
      <c r="G475" s="11" t="n"/>
      <c r="H475" s="11" t="n"/>
      <c r="I475" s="34" t="n"/>
      <c r="J475" s="11" t="n"/>
      <c r="K475" s="11" t="n"/>
    </row>
    <row r="476" ht="18" customHeight="1" s="42">
      <c r="A476" s="19" t="n"/>
      <c r="B476" s="19" t="n"/>
      <c r="C476" s="19" t="n"/>
      <c r="D476" s="19" t="n"/>
      <c r="E476" s="19" t="n"/>
      <c r="F476" s="19" t="n"/>
      <c r="G476" s="19" t="n"/>
      <c r="H476" s="19" t="n"/>
      <c r="I476" s="33" t="n"/>
      <c r="J476" s="19" t="n"/>
      <c r="K476" s="19" t="n"/>
    </row>
    <row r="477" ht="18" customHeight="1" s="42">
      <c r="A477" s="11" t="n"/>
      <c r="B477" s="11" t="n"/>
      <c r="C477" s="11" t="n"/>
      <c r="D477" s="11" t="n"/>
      <c r="E477" s="11" t="n"/>
      <c r="F477" s="11" t="n"/>
      <c r="G477" s="11" t="n"/>
      <c r="H477" s="11" t="n"/>
      <c r="I477" s="34" t="n"/>
      <c r="J477" s="11" t="n"/>
      <c r="K477" s="11" t="n"/>
    </row>
    <row r="478" ht="18" customHeight="1" s="42">
      <c r="A478" s="19" t="n"/>
      <c r="B478" s="19" t="n"/>
      <c r="C478" s="19" t="n"/>
      <c r="D478" s="19" t="n"/>
      <c r="E478" s="19" t="n"/>
      <c r="F478" s="19" t="n"/>
      <c r="G478" s="19" t="n"/>
      <c r="H478" s="19" t="n"/>
      <c r="I478" s="33" t="n"/>
      <c r="J478" s="19" t="n"/>
      <c r="K478" s="19" t="n"/>
    </row>
    <row r="479" ht="18" customHeight="1" s="42">
      <c r="A479" s="11" t="n"/>
      <c r="B479" s="11" t="n"/>
      <c r="C479" s="11" t="n"/>
      <c r="D479" s="11" t="n"/>
      <c r="E479" s="11" t="n"/>
      <c r="F479" s="11" t="n"/>
      <c r="G479" s="11" t="n"/>
      <c r="H479" s="11" t="n"/>
      <c r="I479" s="34" t="n"/>
      <c r="J479" s="11" t="n"/>
      <c r="K479" s="11" t="n"/>
    </row>
    <row r="480" ht="18" customHeight="1" s="42">
      <c r="A480" s="19" t="n"/>
      <c r="B480" s="19" t="n"/>
      <c r="C480" s="19" t="n"/>
      <c r="D480" s="19" t="n"/>
      <c r="E480" s="19" t="n"/>
      <c r="F480" s="19" t="n"/>
      <c r="G480" s="19" t="n"/>
      <c r="H480" s="19" t="n"/>
      <c r="I480" s="33" t="n"/>
      <c r="J480" s="19" t="n"/>
      <c r="K480" s="19" t="n"/>
    </row>
    <row r="481" ht="18" customHeight="1" s="42">
      <c r="A481" s="11" t="n"/>
      <c r="B481" s="11" t="n"/>
      <c r="C481" s="11" t="n"/>
      <c r="D481" s="11" t="n"/>
      <c r="E481" s="11" t="n"/>
      <c r="F481" s="11" t="n"/>
      <c r="G481" s="11" t="n"/>
      <c r="H481" s="11" t="n"/>
      <c r="I481" s="34" t="n"/>
      <c r="J481" s="11" t="n"/>
      <c r="K481" s="11" t="n"/>
    </row>
    <row r="482" ht="18" customHeight="1" s="42">
      <c r="A482" s="19" t="n"/>
      <c r="B482" s="19" t="n"/>
      <c r="C482" s="19" t="n"/>
      <c r="D482" s="19" t="n"/>
      <c r="E482" s="19" t="n"/>
      <c r="F482" s="19" t="n"/>
      <c r="G482" s="19" t="n"/>
      <c r="H482" s="19" t="n"/>
      <c r="I482" s="33" t="n"/>
      <c r="J482" s="19" t="n"/>
      <c r="K482" s="19" t="n"/>
    </row>
    <row r="483" ht="18" customHeight="1" s="42">
      <c r="A483" s="11" t="n"/>
      <c r="B483" s="11" t="n"/>
      <c r="C483" s="11" t="n"/>
      <c r="D483" s="11" t="n"/>
      <c r="E483" s="11" t="n"/>
      <c r="F483" s="11" t="n"/>
      <c r="G483" s="11" t="n"/>
      <c r="H483" s="11" t="n"/>
      <c r="I483" s="34" t="n"/>
      <c r="J483" s="11" t="n"/>
      <c r="K483" s="11" t="n"/>
    </row>
    <row r="484" ht="18" customHeight="1" s="42">
      <c r="A484" s="19" t="n"/>
      <c r="B484" s="19" t="n"/>
      <c r="C484" s="19" t="n"/>
      <c r="D484" s="19" t="n"/>
      <c r="E484" s="19" t="n"/>
      <c r="F484" s="19" t="n"/>
      <c r="G484" s="19" t="n"/>
      <c r="H484" s="19" t="n"/>
      <c r="I484" s="33" t="n"/>
      <c r="J484" s="19" t="n"/>
      <c r="K484" s="19" t="n"/>
    </row>
    <row r="485" ht="18" customHeight="1" s="42">
      <c r="A485" s="11" t="n"/>
      <c r="B485" s="11" t="n"/>
      <c r="C485" s="11" t="n"/>
      <c r="D485" s="11" t="n"/>
      <c r="E485" s="11" t="n"/>
      <c r="F485" s="11" t="n"/>
      <c r="G485" s="11" t="n"/>
      <c r="H485" s="11" t="n"/>
      <c r="I485" s="34" t="n"/>
      <c r="J485" s="11" t="n"/>
      <c r="K485" s="11" t="n"/>
    </row>
    <row r="486" ht="18" customHeight="1" s="42">
      <c r="A486" s="19" t="n"/>
      <c r="B486" s="19" t="n"/>
      <c r="C486" s="19" t="n"/>
      <c r="D486" s="19" t="n"/>
      <c r="E486" s="19" t="n"/>
      <c r="F486" s="19" t="n"/>
      <c r="G486" s="19" t="n"/>
      <c r="H486" s="19" t="n"/>
      <c r="I486" s="33" t="n"/>
      <c r="J486" s="19" t="n"/>
      <c r="K486" s="19" t="n"/>
    </row>
    <row r="487" ht="18" customHeight="1" s="42">
      <c r="A487" s="11" t="n"/>
      <c r="B487" s="11" t="n"/>
      <c r="C487" s="11" t="n"/>
      <c r="D487" s="11" t="n"/>
      <c r="E487" s="11" t="n"/>
      <c r="F487" s="11" t="n"/>
      <c r="G487" s="11" t="n"/>
      <c r="H487" s="11" t="n"/>
      <c r="I487" s="34" t="n"/>
      <c r="J487" s="11" t="n"/>
      <c r="K487" s="11" t="n"/>
    </row>
    <row r="488" ht="18" customHeight="1" s="42">
      <c r="A488" s="19" t="n"/>
      <c r="B488" s="19" t="n"/>
      <c r="C488" s="19" t="n"/>
      <c r="D488" s="19" t="n"/>
      <c r="E488" s="19" t="n"/>
      <c r="F488" s="19" t="n"/>
      <c r="G488" s="19" t="n"/>
      <c r="H488" s="19" t="n"/>
      <c r="I488" s="33" t="n"/>
      <c r="J488" s="19" t="n"/>
      <c r="K488" s="19" t="n"/>
    </row>
    <row r="489" ht="18" customHeight="1" s="42">
      <c r="A489" s="11" t="n"/>
      <c r="B489" s="11" t="n"/>
      <c r="C489" s="11" t="n"/>
      <c r="D489" s="11" t="n"/>
      <c r="E489" s="11" t="n"/>
      <c r="F489" s="11" t="n"/>
      <c r="G489" s="11" t="n"/>
      <c r="H489" s="11" t="n"/>
      <c r="I489" s="34" t="n"/>
      <c r="J489" s="11" t="n"/>
      <c r="K489" s="11" t="n"/>
    </row>
    <row r="490" ht="18" customHeight="1" s="42">
      <c r="A490" s="19" t="n"/>
      <c r="B490" s="19" t="n"/>
      <c r="C490" s="19" t="n"/>
      <c r="D490" s="19" t="n"/>
      <c r="E490" s="19" t="n"/>
      <c r="F490" s="19" t="n"/>
      <c r="G490" s="19" t="n"/>
      <c r="H490" s="19" t="n"/>
      <c r="I490" s="33" t="n"/>
      <c r="J490" s="19" t="n"/>
      <c r="K490" s="19" t="n"/>
    </row>
    <row r="491" ht="18" customHeight="1" s="42">
      <c r="A491" s="11" t="n"/>
      <c r="B491" s="11" t="n"/>
      <c r="C491" s="11" t="n"/>
      <c r="D491" s="11" t="n"/>
      <c r="E491" s="11" t="n"/>
      <c r="F491" s="11" t="n"/>
      <c r="G491" s="11" t="n"/>
      <c r="H491" s="11" t="n"/>
      <c r="I491" s="34" t="n"/>
      <c r="J491" s="11" t="n"/>
      <c r="K491" s="11" t="n"/>
    </row>
    <row r="492" ht="18" customHeight="1" s="42">
      <c r="A492" s="19" t="n"/>
      <c r="B492" s="19" t="n"/>
      <c r="C492" s="19" t="n"/>
      <c r="D492" s="19" t="n"/>
      <c r="E492" s="19" t="n"/>
      <c r="F492" s="19" t="n"/>
      <c r="G492" s="19" t="n"/>
      <c r="H492" s="19" t="n"/>
      <c r="I492" s="33" t="n"/>
      <c r="J492" s="19" t="n"/>
      <c r="K492" s="19" t="n"/>
    </row>
    <row r="493" ht="18" customHeight="1" s="42">
      <c r="A493" s="11" t="n"/>
      <c r="B493" s="11" t="n"/>
      <c r="C493" s="11" t="n"/>
      <c r="D493" s="11" t="n"/>
      <c r="E493" s="11" t="n"/>
      <c r="F493" s="11" t="n"/>
      <c r="G493" s="11" t="n"/>
      <c r="H493" s="11" t="n"/>
      <c r="I493" s="34" t="n"/>
      <c r="J493" s="11" t="n"/>
      <c r="K493" s="11" t="n"/>
    </row>
    <row r="494" ht="18" customHeight="1" s="42">
      <c r="A494" s="19" t="n"/>
      <c r="B494" s="19" t="n"/>
      <c r="C494" s="19" t="n"/>
      <c r="D494" s="19" t="n"/>
      <c r="E494" s="19" t="n"/>
      <c r="F494" s="19" t="n"/>
      <c r="G494" s="19" t="n"/>
      <c r="H494" s="19" t="n"/>
      <c r="I494" s="33" t="n"/>
      <c r="J494" s="19" t="n"/>
      <c r="K494" s="19" t="n"/>
    </row>
    <row r="495" ht="18" customHeight="1" s="42">
      <c r="A495" s="11" t="n"/>
      <c r="B495" s="11" t="n"/>
      <c r="C495" s="11" t="n"/>
      <c r="D495" s="11" t="n"/>
      <c r="E495" s="11" t="n"/>
      <c r="F495" s="11" t="n"/>
      <c r="G495" s="11" t="n"/>
      <c r="H495" s="11" t="n"/>
      <c r="I495" s="34" t="n"/>
      <c r="J495" s="11" t="n"/>
      <c r="K495" s="11" t="n"/>
    </row>
    <row r="496" ht="18" customHeight="1" s="42">
      <c r="A496" s="19" t="n"/>
      <c r="B496" s="19" t="n"/>
      <c r="C496" s="19" t="n"/>
      <c r="D496" s="19" t="n"/>
      <c r="E496" s="19" t="n"/>
      <c r="F496" s="19" t="n"/>
      <c r="G496" s="19" t="n"/>
      <c r="H496" s="19" t="n"/>
      <c r="I496" s="33" t="n"/>
      <c r="J496" s="19" t="n"/>
      <c r="K496" s="19" t="n"/>
    </row>
    <row r="497" ht="18" customHeight="1" s="42">
      <c r="A497" s="11" t="n"/>
      <c r="B497" s="11" t="n"/>
      <c r="C497" s="11" t="n"/>
      <c r="D497" s="11" t="n"/>
      <c r="E497" s="11" t="n"/>
      <c r="F497" s="11" t="n"/>
      <c r="G497" s="11" t="n"/>
      <c r="H497" s="11" t="n"/>
      <c r="I497" s="34" t="n"/>
      <c r="J497" s="11" t="n"/>
      <c r="K497" s="11" t="n"/>
    </row>
    <row r="498" ht="18" customHeight="1" s="42">
      <c r="A498" s="19" t="n"/>
      <c r="B498" s="19" t="n"/>
      <c r="C498" s="19" t="n"/>
      <c r="D498" s="19" t="n"/>
      <c r="E498" s="19" t="n"/>
      <c r="F498" s="19" t="n"/>
      <c r="G498" s="19" t="n"/>
      <c r="H498" s="19" t="n"/>
      <c r="I498" s="33" t="n"/>
      <c r="J498" s="19" t="n"/>
      <c r="K498" s="19" t="n"/>
    </row>
    <row r="499" ht="18" customHeight="1" s="42">
      <c r="A499" s="11" t="n"/>
      <c r="B499" s="11" t="n"/>
      <c r="C499" s="11" t="n"/>
      <c r="D499" s="11" t="n"/>
      <c r="E499" s="11" t="n"/>
      <c r="F499" s="11" t="n"/>
      <c r="G499" s="11" t="n"/>
      <c r="H499" s="11" t="n"/>
      <c r="I499" s="34" t="n"/>
      <c r="J499" s="11" t="n"/>
      <c r="K499" s="11" t="n"/>
    </row>
    <row r="500" ht="18" customHeight="1" s="42">
      <c r="A500" s="19" t="n"/>
      <c r="B500" s="19" t="n"/>
      <c r="C500" s="19" t="n"/>
      <c r="D500" s="19" t="n"/>
      <c r="E500" s="19" t="n"/>
      <c r="F500" s="19" t="n"/>
      <c r="G500" s="19" t="n"/>
      <c r="H500" s="19" t="n"/>
      <c r="I500" s="33" t="n"/>
      <c r="J500" s="19" t="n"/>
      <c r="K500" s="19" t="n"/>
    </row>
    <row r="501" ht="18" customHeight="1" s="42">
      <c r="A501" s="11" t="n"/>
      <c r="B501" s="11" t="n"/>
      <c r="C501" s="11" t="n"/>
      <c r="D501" s="11" t="n"/>
      <c r="E501" s="11" t="n"/>
      <c r="F501" s="11" t="n"/>
      <c r="G501" s="11" t="n"/>
      <c r="H501" s="11" t="n"/>
      <c r="I501" s="34" t="n"/>
      <c r="J501" s="11" t="n"/>
      <c r="K501" s="11" t="n"/>
    </row>
    <row r="502" ht="18" customHeight="1" s="42">
      <c r="A502" s="19" t="n"/>
      <c r="B502" s="19" t="n"/>
      <c r="C502" s="19" t="n"/>
      <c r="D502" s="19" t="n"/>
      <c r="E502" s="19" t="n"/>
      <c r="F502" s="19" t="n"/>
      <c r="G502" s="19" t="n"/>
      <c r="H502" s="19" t="n"/>
      <c r="I502" s="33" t="n"/>
      <c r="J502" s="19" t="n"/>
      <c r="K502" s="19" t="n"/>
    </row>
    <row r="503" ht="18" customHeight="1" s="42">
      <c r="A503" s="11" t="n"/>
      <c r="B503" s="11" t="n"/>
      <c r="C503" s="11" t="n"/>
      <c r="D503" s="11" t="n"/>
      <c r="E503" s="11" t="n"/>
      <c r="F503" s="11" t="n"/>
      <c r="G503" s="11" t="n"/>
      <c r="H503" s="11" t="n"/>
      <c r="I503" s="34" t="n"/>
      <c r="J503" s="11" t="n"/>
      <c r="K503" s="11" t="n"/>
    </row>
    <row r="504" ht="18" customHeight="1" s="42">
      <c r="A504" s="19" t="n"/>
      <c r="B504" s="19" t="n"/>
      <c r="C504" s="19" t="n"/>
      <c r="D504" s="19" t="n"/>
      <c r="E504" s="19" t="n"/>
      <c r="F504" s="19" t="n"/>
      <c r="G504" s="19" t="n"/>
      <c r="H504" s="19" t="n"/>
      <c r="I504" s="33" t="n"/>
      <c r="J504" s="19" t="n"/>
      <c r="K504" s="19" t="n"/>
    </row>
    <row r="505" ht="18" customHeight="1" s="42">
      <c r="A505" s="11" t="n"/>
      <c r="B505" s="11" t="n"/>
      <c r="C505" s="11" t="n"/>
      <c r="D505" s="11" t="n"/>
      <c r="E505" s="11" t="n"/>
      <c r="F505" s="11" t="n"/>
      <c r="G505" s="11" t="n"/>
      <c r="H505" s="11" t="n"/>
      <c r="I505" s="34" t="n"/>
      <c r="J505" s="11" t="n"/>
      <c r="K505" s="11" t="n"/>
    </row>
    <row r="506" ht="18" customHeight="1" s="42">
      <c r="A506" s="19" t="n"/>
      <c r="B506" s="19" t="n"/>
      <c r="C506" s="19" t="n"/>
      <c r="D506" s="19" t="n"/>
      <c r="E506" s="19" t="n"/>
      <c r="F506" s="19" t="n"/>
      <c r="G506" s="19" t="n"/>
      <c r="H506" s="19" t="n"/>
      <c r="I506" s="33" t="n"/>
      <c r="J506" s="19" t="n"/>
      <c r="K506" s="19" t="n"/>
    </row>
    <row r="507" ht="18" customHeight="1" s="42">
      <c r="A507" s="11" t="n"/>
      <c r="B507" s="11" t="n"/>
      <c r="C507" s="11" t="n"/>
      <c r="D507" s="11" t="n"/>
      <c r="E507" s="11" t="n"/>
      <c r="F507" s="11" t="n"/>
      <c r="G507" s="11" t="n"/>
      <c r="H507" s="11" t="n"/>
      <c r="I507" s="34" t="n"/>
      <c r="J507" s="11" t="n"/>
      <c r="K507" s="11" t="n"/>
    </row>
    <row r="508" ht="18" customHeight="1" s="42">
      <c r="A508" s="19" t="n"/>
      <c r="B508" s="19" t="n"/>
      <c r="C508" s="19" t="n"/>
      <c r="D508" s="19" t="n"/>
      <c r="E508" s="19" t="n"/>
      <c r="F508" s="19" t="n"/>
      <c r="G508" s="19" t="n"/>
      <c r="H508" s="19" t="n"/>
      <c r="I508" s="33" t="n"/>
      <c r="J508" s="19" t="n"/>
      <c r="K508" s="19" t="n"/>
    </row>
    <row r="509" ht="18" customHeight="1" s="42">
      <c r="A509" s="11" t="n"/>
      <c r="B509" s="11" t="n"/>
      <c r="C509" s="11" t="n"/>
      <c r="D509" s="11" t="n"/>
      <c r="E509" s="11" t="n"/>
      <c r="F509" s="11" t="n"/>
      <c r="G509" s="11" t="n"/>
      <c r="H509" s="11" t="n"/>
      <c r="I509" s="34" t="n"/>
      <c r="J509" s="11" t="n"/>
      <c r="K509" s="11" t="n"/>
    </row>
    <row r="510" ht="18" customHeight="1" s="42">
      <c r="A510" s="19" t="n"/>
      <c r="B510" s="19" t="n"/>
      <c r="C510" s="19" t="n"/>
      <c r="D510" s="19" t="n"/>
      <c r="E510" s="19" t="n"/>
      <c r="F510" s="19" t="n"/>
      <c r="G510" s="19" t="n"/>
      <c r="H510" s="19" t="n"/>
      <c r="I510" s="33" t="n"/>
      <c r="J510" s="19" t="n"/>
      <c r="K510" s="19" t="n"/>
    </row>
    <row r="511" ht="18" customHeight="1" s="42">
      <c r="A511" s="11" t="n"/>
      <c r="B511" s="11" t="n"/>
      <c r="C511" s="11" t="n"/>
      <c r="D511" s="11" t="n"/>
      <c r="E511" s="11" t="n"/>
      <c r="F511" s="11" t="n"/>
      <c r="G511" s="11" t="n"/>
      <c r="H511" s="11" t="n"/>
      <c r="I511" s="34" t="n"/>
      <c r="J511" s="11" t="n"/>
      <c r="K511" s="11" t="n"/>
    </row>
    <row r="512" ht="18" customHeight="1" s="42">
      <c r="A512" s="19" t="n"/>
      <c r="B512" s="19" t="n"/>
      <c r="C512" s="19" t="n"/>
      <c r="D512" s="19" t="n"/>
      <c r="E512" s="19" t="n"/>
      <c r="F512" s="19" t="n"/>
      <c r="G512" s="19" t="n"/>
      <c r="H512" s="19" t="n"/>
      <c r="I512" s="33" t="n"/>
      <c r="J512" s="19" t="n"/>
      <c r="K512" s="19" t="n"/>
    </row>
    <row r="513" ht="18" customHeight="1" s="42">
      <c r="A513" s="11" t="n"/>
      <c r="B513" s="11" t="n"/>
      <c r="C513" s="11" t="n"/>
      <c r="D513" s="11" t="n"/>
      <c r="E513" s="11" t="n"/>
      <c r="F513" s="11" t="n"/>
      <c r="G513" s="11" t="n"/>
      <c r="H513" s="11" t="n"/>
      <c r="I513" s="34" t="n"/>
      <c r="J513" s="11" t="n"/>
      <c r="K513" s="11" t="n"/>
    </row>
    <row r="514" ht="18" customHeight="1" s="42">
      <c r="A514" s="19" t="n"/>
      <c r="B514" s="19" t="n"/>
      <c r="C514" s="19" t="n"/>
      <c r="D514" s="19" t="n"/>
      <c r="E514" s="19" t="n"/>
      <c r="F514" s="19" t="n"/>
      <c r="G514" s="19" t="n"/>
      <c r="H514" s="19" t="n"/>
      <c r="I514" s="33" t="n"/>
      <c r="J514" s="19" t="n"/>
      <c r="K514" s="19" t="n"/>
    </row>
    <row r="515" ht="18" customHeight="1" s="42">
      <c r="A515" s="11" t="n"/>
      <c r="B515" s="11" t="n"/>
      <c r="C515" s="11" t="n"/>
      <c r="D515" s="11" t="n"/>
      <c r="E515" s="11" t="n"/>
      <c r="F515" s="11" t="n"/>
      <c r="G515" s="11" t="n"/>
      <c r="H515" s="11" t="n"/>
      <c r="I515" s="34" t="n"/>
      <c r="J515" s="11" t="n"/>
      <c r="K515" s="11" t="n"/>
    </row>
    <row r="516" ht="18" customHeight="1" s="42">
      <c r="A516" s="19" t="n"/>
      <c r="B516" s="19" t="n"/>
      <c r="C516" s="19" t="n"/>
      <c r="D516" s="19" t="n"/>
      <c r="E516" s="19" t="n"/>
      <c r="F516" s="19" t="n"/>
      <c r="G516" s="19" t="n"/>
      <c r="H516" s="19" t="n"/>
      <c r="I516" s="33" t="n"/>
      <c r="J516" s="19" t="n"/>
      <c r="K516" s="19" t="n"/>
    </row>
    <row r="517" ht="18" customHeight="1" s="42">
      <c r="A517" s="11" t="n"/>
      <c r="B517" s="11" t="n"/>
      <c r="C517" s="11" t="n"/>
      <c r="D517" s="11" t="n"/>
      <c r="E517" s="11" t="n"/>
      <c r="F517" s="11" t="n"/>
      <c r="G517" s="11" t="n"/>
      <c r="H517" s="11" t="n"/>
      <c r="I517" s="34" t="n"/>
      <c r="J517" s="11" t="n"/>
      <c r="K517" s="11" t="n"/>
    </row>
    <row r="518" ht="18" customHeight="1" s="42">
      <c r="A518" s="19" t="n"/>
      <c r="B518" s="19" t="n"/>
      <c r="C518" s="19" t="n"/>
      <c r="D518" s="19" t="n"/>
      <c r="E518" s="19" t="n"/>
      <c r="F518" s="19" t="n"/>
      <c r="G518" s="19" t="n"/>
      <c r="H518" s="19" t="n"/>
      <c r="I518" s="33" t="n"/>
      <c r="J518" s="19" t="n"/>
      <c r="K518" s="19" t="n"/>
    </row>
    <row r="519" ht="18" customHeight="1" s="42">
      <c r="A519" s="11" t="n"/>
      <c r="B519" s="11" t="n"/>
      <c r="C519" s="11" t="n"/>
      <c r="D519" s="11" t="n"/>
      <c r="E519" s="11" t="n"/>
      <c r="F519" s="11" t="n"/>
      <c r="G519" s="11" t="n"/>
      <c r="H519" s="11" t="n"/>
      <c r="I519" s="34" t="n"/>
      <c r="J519" s="11" t="n"/>
      <c r="K519" s="11" t="n"/>
    </row>
    <row r="520" ht="18" customHeight="1" s="42">
      <c r="A520" s="19" t="n"/>
      <c r="B520" s="19" t="n"/>
      <c r="C520" s="19" t="n"/>
      <c r="D520" s="19" t="n"/>
      <c r="E520" s="19" t="n"/>
      <c r="F520" s="19" t="n"/>
      <c r="G520" s="19" t="n"/>
      <c r="H520" s="19" t="n"/>
      <c r="I520" s="33" t="n"/>
      <c r="J520" s="19" t="n"/>
      <c r="K520" s="19" t="n"/>
    </row>
    <row r="521" ht="18" customHeight="1" s="42">
      <c r="A521" s="11" t="n"/>
      <c r="B521" s="11" t="n"/>
      <c r="C521" s="11" t="n"/>
      <c r="D521" s="11" t="n"/>
      <c r="E521" s="11" t="n"/>
      <c r="F521" s="11" t="n"/>
      <c r="G521" s="11" t="n"/>
      <c r="H521" s="11" t="n"/>
      <c r="I521" s="34" t="n"/>
      <c r="J521" s="11" t="n"/>
      <c r="K521" s="11" t="n"/>
    </row>
    <row r="522" ht="18" customHeight="1" s="42">
      <c r="A522" s="19" t="n"/>
      <c r="B522" s="19" t="n"/>
      <c r="C522" s="19" t="n"/>
      <c r="D522" s="19" t="n"/>
      <c r="E522" s="19" t="n"/>
      <c r="F522" s="19" t="n"/>
      <c r="G522" s="19" t="n"/>
      <c r="H522" s="19" t="n"/>
      <c r="I522" s="33" t="n"/>
      <c r="J522" s="19" t="n"/>
      <c r="K522" s="19" t="n"/>
    </row>
    <row r="523" ht="18" customHeight="1" s="42">
      <c r="A523" s="11" t="n"/>
      <c r="B523" s="11" t="n"/>
      <c r="C523" s="11" t="n"/>
      <c r="D523" s="11" t="n"/>
      <c r="E523" s="11" t="n"/>
      <c r="F523" s="11" t="n"/>
      <c r="G523" s="11" t="n"/>
      <c r="H523" s="11" t="n"/>
      <c r="I523" s="34" t="n"/>
      <c r="J523" s="11" t="n"/>
      <c r="K523" s="11" t="n"/>
    </row>
    <row r="524" ht="18" customHeight="1" s="42">
      <c r="A524" s="19" t="n"/>
      <c r="B524" s="19" t="n"/>
      <c r="C524" s="19" t="n"/>
      <c r="D524" s="19" t="n"/>
      <c r="E524" s="19" t="n"/>
      <c r="F524" s="19" t="n"/>
      <c r="G524" s="19" t="n"/>
      <c r="H524" s="19" t="n"/>
      <c r="I524" s="33" t="n"/>
      <c r="J524" s="19" t="n"/>
      <c r="K524" s="19" t="n"/>
    </row>
    <row r="525" ht="18" customHeight="1" s="42">
      <c r="A525" s="11" t="n"/>
      <c r="B525" s="11" t="n"/>
      <c r="C525" s="11" t="n"/>
      <c r="D525" s="11" t="n"/>
      <c r="E525" s="11" t="n"/>
      <c r="F525" s="11" t="n"/>
      <c r="G525" s="11" t="n"/>
      <c r="H525" s="11" t="n"/>
      <c r="I525" s="34" t="n"/>
      <c r="J525" s="11" t="n"/>
      <c r="K525" s="11" t="n"/>
    </row>
    <row r="526" ht="18" customHeight="1" s="42">
      <c r="A526" s="19" t="n"/>
      <c r="B526" s="19" t="n"/>
      <c r="C526" s="19" t="n"/>
      <c r="D526" s="19" t="n"/>
      <c r="E526" s="19" t="n"/>
      <c r="F526" s="19" t="n"/>
      <c r="G526" s="19" t="n"/>
      <c r="H526" s="19" t="n"/>
      <c r="I526" s="33" t="n"/>
      <c r="J526" s="19" t="n"/>
      <c r="K526" s="19" t="n"/>
    </row>
    <row r="527" ht="18" customHeight="1" s="42">
      <c r="A527" s="11" t="n"/>
      <c r="B527" s="11" t="n"/>
      <c r="C527" s="11" t="n"/>
      <c r="D527" s="11" t="n"/>
      <c r="E527" s="11" t="n"/>
      <c r="F527" s="11" t="n"/>
      <c r="G527" s="11" t="n"/>
      <c r="H527" s="11" t="n"/>
      <c r="I527" s="34" t="n"/>
      <c r="J527" s="11" t="n"/>
      <c r="K527" s="11" t="n"/>
    </row>
    <row r="528" ht="18" customHeight="1" s="42">
      <c r="A528" s="19" t="n"/>
      <c r="B528" s="19" t="n"/>
      <c r="C528" s="19" t="n"/>
      <c r="D528" s="19" t="n"/>
      <c r="E528" s="19" t="n"/>
      <c r="F528" s="19" t="n"/>
      <c r="G528" s="19" t="n"/>
      <c r="H528" s="19" t="n"/>
      <c r="I528" s="33" t="n"/>
      <c r="J528" s="19" t="n"/>
      <c r="K528" s="19" t="n"/>
    </row>
    <row r="529" ht="18" customHeight="1" s="42">
      <c r="A529" s="11" t="n"/>
      <c r="B529" s="11" t="n"/>
      <c r="C529" s="11" t="n"/>
      <c r="D529" s="11" t="n"/>
      <c r="E529" s="11" t="n"/>
      <c r="F529" s="11" t="n"/>
      <c r="G529" s="11" t="n"/>
      <c r="H529" s="11" t="n"/>
      <c r="I529" s="34" t="n"/>
      <c r="J529" s="11" t="n"/>
      <c r="K529" s="11" t="n"/>
    </row>
    <row r="530" ht="18" customHeight="1" s="42">
      <c r="A530" s="19" t="n"/>
      <c r="B530" s="19" t="n"/>
      <c r="C530" s="19" t="n"/>
      <c r="D530" s="19" t="n"/>
      <c r="E530" s="19" t="n"/>
      <c r="F530" s="19" t="n"/>
      <c r="G530" s="19" t="n"/>
      <c r="H530" s="19" t="n"/>
      <c r="I530" s="33" t="n"/>
      <c r="J530" s="19" t="n"/>
      <c r="K530" s="19" t="n"/>
    </row>
    <row r="531" ht="18" customHeight="1" s="42">
      <c r="A531" s="11" t="n"/>
      <c r="B531" s="11" t="n"/>
      <c r="C531" s="11" t="n"/>
      <c r="D531" s="11" t="n"/>
      <c r="E531" s="11" t="n"/>
      <c r="F531" s="11" t="n"/>
      <c r="G531" s="11" t="n"/>
      <c r="H531" s="11" t="n"/>
      <c r="I531" s="34" t="n"/>
      <c r="J531" s="11" t="n"/>
      <c r="K531" s="11" t="n"/>
    </row>
    <row r="532" ht="18" customHeight="1" s="42">
      <c r="A532" s="19" t="n"/>
      <c r="B532" s="19" t="n"/>
      <c r="C532" s="19" t="n"/>
      <c r="D532" s="19" t="n"/>
      <c r="E532" s="19" t="n"/>
      <c r="F532" s="19" t="n"/>
      <c r="G532" s="19" t="n"/>
      <c r="H532" s="19" t="n"/>
      <c r="I532" s="33" t="n"/>
      <c r="J532" s="19" t="n"/>
      <c r="K532" s="19" t="n"/>
    </row>
    <row r="533" ht="18" customHeight="1" s="42">
      <c r="A533" s="11" t="n"/>
      <c r="B533" s="11" t="n"/>
      <c r="C533" s="11" t="n"/>
      <c r="D533" s="11" t="n"/>
      <c r="E533" s="11" t="n"/>
      <c r="F533" s="11" t="n"/>
      <c r="G533" s="11" t="n"/>
      <c r="H533" s="11" t="n"/>
      <c r="I533" s="34" t="n"/>
      <c r="J533" s="11" t="n"/>
      <c r="K533" s="11" t="n"/>
    </row>
    <row r="534" ht="18" customHeight="1" s="42">
      <c r="A534" s="19" t="n"/>
      <c r="B534" s="19" t="n"/>
      <c r="C534" s="19" t="n"/>
      <c r="D534" s="19" t="n"/>
      <c r="E534" s="19" t="n"/>
      <c r="F534" s="19" t="n"/>
      <c r="G534" s="19" t="n"/>
      <c r="H534" s="19" t="n"/>
      <c r="I534" s="33" t="n"/>
      <c r="J534" s="19" t="n"/>
      <c r="K534" s="19" t="n"/>
    </row>
    <row r="535" ht="18" customHeight="1" s="42">
      <c r="A535" s="11" t="n"/>
      <c r="B535" s="11" t="n"/>
      <c r="C535" s="11" t="n"/>
      <c r="D535" s="11" t="n"/>
      <c r="E535" s="11" t="n"/>
      <c r="F535" s="11" t="n"/>
      <c r="G535" s="11" t="n"/>
      <c r="H535" s="11" t="n"/>
      <c r="I535" s="34" t="n"/>
      <c r="J535" s="11" t="n"/>
      <c r="K535" s="11" t="n"/>
    </row>
    <row r="536" ht="18" customHeight="1" s="42">
      <c r="A536" s="19" t="n"/>
      <c r="B536" s="19" t="n"/>
      <c r="C536" s="19" t="n"/>
      <c r="D536" s="19" t="n"/>
      <c r="E536" s="19" t="n"/>
      <c r="F536" s="19" t="n"/>
      <c r="G536" s="19" t="n"/>
      <c r="H536" s="19" t="n"/>
      <c r="I536" s="33" t="n"/>
      <c r="J536" s="19" t="n"/>
      <c r="K536" s="19" t="n"/>
    </row>
    <row r="537" ht="18" customHeight="1" s="42">
      <c r="A537" s="11" t="n"/>
      <c r="B537" s="11" t="n"/>
      <c r="C537" s="11" t="n"/>
      <c r="D537" s="11" t="n"/>
      <c r="E537" s="11" t="n"/>
      <c r="F537" s="11" t="n"/>
      <c r="G537" s="11" t="n"/>
      <c r="H537" s="11" t="n"/>
      <c r="I537" s="34" t="n"/>
      <c r="J537" s="11" t="n"/>
      <c r="K537" s="11" t="n"/>
    </row>
    <row r="538" ht="18" customHeight="1" s="42">
      <c r="A538" s="19" t="n"/>
      <c r="B538" s="19" t="n"/>
      <c r="C538" s="19" t="n"/>
      <c r="D538" s="19" t="n"/>
      <c r="E538" s="19" t="n"/>
      <c r="F538" s="19" t="n"/>
      <c r="G538" s="19" t="n"/>
      <c r="H538" s="19" t="n"/>
      <c r="I538" s="33" t="n"/>
      <c r="J538" s="19" t="n"/>
      <c r="K538" s="19" t="n"/>
    </row>
    <row r="539" ht="18" customHeight="1" s="42">
      <c r="A539" s="11" t="n"/>
      <c r="B539" s="11" t="n"/>
      <c r="C539" s="11" t="n"/>
      <c r="D539" s="11" t="n"/>
      <c r="E539" s="11" t="n"/>
      <c r="F539" s="11" t="n"/>
      <c r="G539" s="11" t="n"/>
      <c r="H539" s="11" t="n"/>
      <c r="I539" s="34" t="n"/>
      <c r="J539" s="11" t="n"/>
      <c r="K539" s="11" t="n"/>
    </row>
    <row r="540" ht="18" customHeight="1" s="42">
      <c r="A540" s="19" t="n"/>
      <c r="B540" s="19" t="n"/>
      <c r="C540" s="19" t="n"/>
      <c r="D540" s="19" t="n"/>
      <c r="E540" s="19" t="n"/>
      <c r="F540" s="19" t="n"/>
      <c r="G540" s="19" t="n"/>
      <c r="H540" s="19" t="n"/>
      <c r="I540" s="33" t="n"/>
      <c r="J540" s="19" t="n"/>
      <c r="K540" s="19" t="n"/>
    </row>
    <row r="541" ht="18" customHeight="1" s="42">
      <c r="A541" s="11" t="n"/>
      <c r="B541" s="11" t="n"/>
      <c r="C541" s="11" t="n"/>
      <c r="D541" s="11" t="n"/>
      <c r="E541" s="11" t="n"/>
      <c r="F541" s="11" t="n"/>
      <c r="G541" s="11" t="n"/>
      <c r="H541" s="11" t="n"/>
      <c r="I541" s="34" t="n"/>
      <c r="J541" s="11" t="n"/>
      <c r="K541" s="11" t="n"/>
    </row>
    <row r="542" ht="18" customHeight="1" s="42">
      <c r="A542" s="19" t="n"/>
      <c r="B542" s="19" t="n"/>
      <c r="C542" s="19" t="n"/>
      <c r="D542" s="19" t="n"/>
      <c r="E542" s="19" t="n"/>
      <c r="F542" s="19" t="n"/>
      <c r="G542" s="19" t="n"/>
      <c r="H542" s="19" t="n"/>
      <c r="I542" s="33" t="n"/>
      <c r="J542" s="19" t="n"/>
      <c r="K542" s="19" t="n"/>
    </row>
    <row r="543" ht="18" customHeight="1" s="42">
      <c r="A543" s="11" t="n"/>
      <c r="B543" s="11" t="n"/>
      <c r="C543" s="11" t="n"/>
      <c r="D543" s="11" t="n"/>
      <c r="E543" s="11" t="n"/>
      <c r="F543" s="11" t="n"/>
      <c r="G543" s="11" t="n"/>
      <c r="H543" s="11" t="n"/>
      <c r="I543" s="34" t="n"/>
      <c r="J543" s="11" t="n"/>
      <c r="K543" s="11" t="n"/>
    </row>
    <row r="544" ht="18" customHeight="1" s="42">
      <c r="A544" s="19" t="n"/>
      <c r="B544" s="19" t="n"/>
      <c r="C544" s="19" t="n"/>
      <c r="D544" s="19" t="n"/>
      <c r="E544" s="19" t="n"/>
      <c r="F544" s="19" t="n"/>
      <c r="G544" s="19" t="n"/>
      <c r="H544" s="19" t="n"/>
      <c r="I544" s="33" t="n"/>
      <c r="J544" s="19" t="n"/>
      <c r="K544" s="19" t="n"/>
    </row>
    <row r="545" ht="18" customHeight="1" s="42">
      <c r="A545" s="11" t="n"/>
      <c r="B545" s="11" t="n"/>
      <c r="C545" s="11" t="n"/>
      <c r="D545" s="11" t="n"/>
      <c r="E545" s="11" t="n"/>
      <c r="F545" s="11" t="n"/>
      <c r="G545" s="11" t="n"/>
      <c r="H545" s="11" t="n"/>
      <c r="I545" s="34" t="n"/>
      <c r="J545" s="11" t="n"/>
      <c r="K545" s="11" t="n"/>
    </row>
    <row r="546" ht="18" customHeight="1" s="42">
      <c r="A546" s="19" t="n"/>
      <c r="B546" s="19" t="n"/>
      <c r="C546" s="19" t="n"/>
      <c r="D546" s="19" t="n"/>
      <c r="E546" s="19" t="n"/>
      <c r="F546" s="19" t="n"/>
      <c r="G546" s="19" t="n"/>
      <c r="H546" s="19" t="n"/>
      <c r="I546" s="33" t="n"/>
      <c r="J546" s="19" t="n"/>
      <c r="K546" s="19" t="n"/>
    </row>
    <row r="547" ht="18" customHeight="1" s="42">
      <c r="A547" s="11" t="n"/>
      <c r="B547" s="11" t="n"/>
      <c r="C547" s="11" t="n"/>
      <c r="D547" s="11" t="n"/>
      <c r="E547" s="11" t="n"/>
      <c r="F547" s="11" t="n"/>
      <c r="G547" s="11" t="n"/>
      <c r="H547" s="11" t="n"/>
      <c r="I547" s="34" t="n"/>
      <c r="J547" s="11" t="n"/>
      <c r="K547" s="11" t="n"/>
    </row>
    <row r="548" ht="18" customHeight="1" s="42">
      <c r="A548" s="19" t="n"/>
      <c r="B548" s="19" t="n"/>
      <c r="C548" s="19" t="n"/>
      <c r="D548" s="19" t="n"/>
      <c r="E548" s="19" t="n"/>
      <c r="F548" s="19" t="n"/>
      <c r="G548" s="19" t="n"/>
      <c r="H548" s="19" t="n"/>
      <c r="I548" s="33" t="n"/>
      <c r="J548" s="19" t="n"/>
      <c r="K548" s="19" t="n"/>
    </row>
    <row r="549" ht="18" customHeight="1" s="42">
      <c r="A549" s="11" t="n"/>
      <c r="B549" s="11" t="n"/>
      <c r="C549" s="11" t="n"/>
      <c r="D549" s="11" t="n"/>
      <c r="E549" s="11" t="n"/>
      <c r="F549" s="11" t="n"/>
      <c r="G549" s="11" t="n"/>
      <c r="H549" s="11" t="n"/>
      <c r="I549" s="34" t="n"/>
      <c r="J549" s="11" t="n"/>
      <c r="K549" s="11" t="n"/>
    </row>
    <row r="550" ht="18" customHeight="1" s="42">
      <c r="A550" s="19" t="n"/>
      <c r="B550" s="19" t="n"/>
      <c r="C550" s="19" t="n"/>
      <c r="D550" s="19" t="n"/>
      <c r="E550" s="19" t="n"/>
      <c r="F550" s="19" t="n"/>
      <c r="G550" s="19" t="n"/>
      <c r="H550" s="19" t="n"/>
      <c r="I550" s="33" t="n"/>
      <c r="J550" s="19" t="n"/>
      <c r="K550" s="19" t="n"/>
    </row>
    <row r="551" ht="18" customHeight="1" s="42">
      <c r="A551" s="11" t="n"/>
      <c r="B551" s="11" t="n"/>
      <c r="C551" s="11" t="n"/>
      <c r="D551" s="11" t="n"/>
      <c r="E551" s="11" t="n"/>
      <c r="F551" s="11" t="n"/>
      <c r="G551" s="11" t="n"/>
      <c r="H551" s="11" t="n"/>
      <c r="I551" s="34" t="n"/>
      <c r="J551" s="11" t="n"/>
      <c r="K551" s="11" t="n"/>
    </row>
    <row r="552" ht="18" customHeight="1" s="42">
      <c r="A552" s="19" t="n"/>
      <c r="B552" s="19" t="n"/>
      <c r="C552" s="19" t="n"/>
      <c r="D552" s="19" t="n"/>
      <c r="E552" s="19" t="n"/>
      <c r="F552" s="19" t="n"/>
      <c r="G552" s="19" t="n"/>
      <c r="H552" s="19" t="n"/>
      <c r="I552" s="33" t="n"/>
      <c r="J552" s="19" t="n"/>
      <c r="K552" s="19" t="n"/>
    </row>
    <row r="553" ht="18" customHeight="1" s="42">
      <c r="A553" s="11" t="n"/>
      <c r="B553" s="11" t="n"/>
      <c r="C553" s="11" t="n"/>
      <c r="D553" s="11" t="n"/>
      <c r="E553" s="11" t="n"/>
      <c r="F553" s="11" t="n"/>
      <c r="G553" s="11" t="n"/>
      <c r="H553" s="11" t="n"/>
      <c r="I553" s="34" t="n"/>
      <c r="J553" s="11" t="n"/>
      <c r="K553" s="11" t="n"/>
    </row>
    <row r="554" ht="18" customHeight="1" s="42">
      <c r="A554" s="19" t="n"/>
      <c r="B554" s="19" t="n"/>
      <c r="C554" s="19" t="n"/>
      <c r="D554" s="19" t="n"/>
      <c r="E554" s="19" t="n"/>
      <c r="F554" s="19" t="n"/>
      <c r="G554" s="19" t="n"/>
      <c r="H554" s="19" t="n"/>
      <c r="I554" s="33" t="n"/>
      <c r="J554" s="19" t="n"/>
      <c r="K554" s="19" t="n"/>
    </row>
    <row r="555" ht="18" customHeight="1" s="42">
      <c r="A555" s="11" t="n"/>
      <c r="B555" s="11" t="n"/>
      <c r="C555" s="11" t="n"/>
      <c r="D555" s="11" t="n"/>
      <c r="E555" s="11" t="n"/>
      <c r="F555" s="11" t="n"/>
      <c r="G555" s="11" t="n"/>
      <c r="H555" s="11" t="n"/>
      <c r="I555" s="34" t="n"/>
      <c r="J555" s="11" t="n"/>
      <c r="K555" s="11" t="n"/>
    </row>
    <row r="556" ht="18" customHeight="1" s="42">
      <c r="A556" s="19" t="n"/>
      <c r="B556" s="19" t="n"/>
      <c r="C556" s="19" t="n"/>
      <c r="D556" s="19" t="n"/>
      <c r="E556" s="19" t="n"/>
      <c r="F556" s="19" t="n"/>
      <c r="G556" s="19" t="n"/>
      <c r="H556" s="19" t="n"/>
      <c r="I556" s="33" t="n"/>
      <c r="J556" s="19" t="n"/>
      <c r="K556" s="19" t="n"/>
    </row>
    <row r="557" ht="18" customHeight="1" s="42">
      <c r="A557" s="11" t="n"/>
      <c r="B557" s="11" t="n"/>
      <c r="C557" s="11" t="n"/>
      <c r="D557" s="11" t="n"/>
      <c r="E557" s="11" t="n"/>
      <c r="F557" s="11" t="n"/>
      <c r="G557" s="11" t="n"/>
      <c r="H557" s="11" t="n"/>
      <c r="I557" s="34" t="n"/>
      <c r="J557" s="11" t="n"/>
      <c r="K557" s="11" t="n"/>
    </row>
    <row r="558" ht="18" customHeight="1" s="42">
      <c r="A558" s="19" t="n"/>
      <c r="B558" s="19" t="n"/>
      <c r="C558" s="19" t="n"/>
      <c r="D558" s="19" t="n"/>
      <c r="E558" s="19" t="n"/>
      <c r="F558" s="19" t="n"/>
      <c r="G558" s="19" t="n"/>
      <c r="H558" s="19" t="n"/>
      <c r="I558" s="33" t="n"/>
      <c r="J558" s="19" t="n"/>
      <c r="K558" s="19" t="n"/>
    </row>
    <row r="559" ht="18" customHeight="1" s="42">
      <c r="A559" s="11" t="n"/>
      <c r="B559" s="11" t="n"/>
      <c r="C559" s="11" t="n"/>
      <c r="D559" s="11" t="n"/>
      <c r="E559" s="11" t="n"/>
      <c r="F559" s="11" t="n"/>
      <c r="G559" s="11" t="n"/>
      <c r="H559" s="11" t="n"/>
      <c r="I559" s="34" t="n"/>
      <c r="J559" s="11" t="n"/>
      <c r="K559" s="11" t="n"/>
    </row>
    <row r="560" ht="18" customHeight="1" s="42">
      <c r="A560" s="19" t="n"/>
      <c r="B560" s="19" t="n"/>
      <c r="C560" s="19" t="n"/>
      <c r="D560" s="19" t="n"/>
      <c r="E560" s="19" t="n"/>
      <c r="F560" s="19" t="n"/>
      <c r="G560" s="19" t="n"/>
      <c r="H560" s="19" t="n"/>
      <c r="I560" s="33" t="n"/>
      <c r="J560" s="19" t="n"/>
      <c r="K560" s="19" t="n"/>
    </row>
    <row r="561" ht="18" customHeight="1" s="42">
      <c r="A561" s="11" t="n"/>
      <c r="B561" s="11" t="n"/>
      <c r="C561" s="11" t="n"/>
      <c r="D561" s="11" t="n"/>
      <c r="E561" s="11" t="n"/>
      <c r="F561" s="11" t="n"/>
      <c r="G561" s="11" t="n"/>
      <c r="H561" s="11" t="n"/>
      <c r="I561" s="34" t="n"/>
      <c r="J561" s="11" t="n"/>
      <c r="K561" s="11" t="n"/>
    </row>
    <row r="562" ht="18" customHeight="1" s="42">
      <c r="A562" s="19" t="n"/>
      <c r="B562" s="19" t="n"/>
      <c r="C562" s="19" t="n"/>
      <c r="D562" s="19" t="n"/>
      <c r="E562" s="19" t="n"/>
      <c r="F562" s="19" t="n"/>
      <c r="G562" s="19" t="n"/>
      <c r="H562" s="19" t="n"/>
      <c r="I562" s="33" t="n"/>
      <c r="J562" s="19" t="n"/>
      <c r="K562" s="19" t="n"/>
    </row>
    <row r="563" ht="18" customHeight="1" s="42">
      <c r="A563" s="11" t="n"/>
      <c r="B563" s="11" t="n"/>
      <c r="C563" s="11" t="n"/>
      <c r="D563" s="11" t="n"/>
      <c r="E563" s="11" t="n"/>
      <c r="F563" s="11" t="n"/>
      <c r="G563" s="11" t="n"/>
      <c r="H563" s="11" t="n"/>
      <c r="I563" s="34" t="n"/>
      <c r="J563" s="11" t="n"/>
      <c r="K563" s="11" t="n"/>
    </row>
    <row r="564" ht="18" customHeight="1" s="42">
      <c r="A564" s="19" t="n"/>
      <c r="B564" s="19" t="n"/>
      <c r="C564" s="19" t="n"/>
      <c r="D564" s="19" t="n"/>
      <c r="E564" s="19" t="n"/>
      <c r="F564" s="19" t="n"/>
      <c r="G564" s="19" t="n"/>
      <c r="H564" s="19" t="n"/>
      <c r="I564" s="33" t="n"/>
      <c r="J564" s="19" t="n"/>
      <c r="K564" s="19" t="n"/>
    </row>
    <row r="565" ht="18" customHeight="1" s="42">
      <c r="A565" s="11" t="n"/>
      <c r="B565" s="11" t="n"/>
      <c r="C565" s="11" t="n"/>
      <c r="D565" s="11" t="n"/>
      <c r="E565" s="11" t="n"/>
      <c r="F565" s="11" t="n"/>
      <c r="G565" s="11" t="n"/>
      <c r="H565" s="11" t="n"/>
      <c r="I565" s="34" t="n"/>
      <c r="J565" s="11" t="n"/>
      <c r="K565" s="11" t="n"/>
    </row>
    <row r="566" ht="18" customHeight="1" s="42">
      <c r="A566" s="19" t="n"/>
      <c r="B566" s="19" t="n"/>
      <c r="C566" s="19" t="n"/>
      <c r="D566" s="19" t="n"/>
      <c r="E566" s="19" t="n"/>
      <c r="F566" s="19" t="n"/>
      <c r="G566" s="19" t="n"/>
      <c r="H566" s="19" t="n"/>
      <c r="I566" s="33" t="n"/>
      <c r="J566" s="19" t="n"/>
      <c r="K566" s="19" t="n"/>
    </row>
    <row r="567" ht="18" customHeight="1" s="42">
      <c r="A567" s="11" t="n"/>
      <c r="B567" s="11" t="n"/>
      <c r="C567" s="11" t="n"/>
      <c r="D567" s="11" t="n"/>
      <c r="E567" s="11" t="n"/>
      <c r="F567" s="11" t="n"/>
      <c r="G567" s="11" t="n"/>
      <c r="H567" s="11" t="n"/>
      <c r="I567" s="34" t="n"/>
      <c r="J567" s="11" t="n"/>
      <c r="K567" s="11" t="n"/>
    </row>
    <row r="568" ht="18" customHeight="1" s="42">
      <c r="A568" s="19" t="n"/>
      <c r="B568" s="19" t="n"/>
      <c r="C568" s="19" t="n"/>
      <c r="D568" s="19" t="n"/>
      <c r="E568" s="19" t="n"/>
      <c r="F568" s="19" t="n"/>
      <c r="G568" s="19" t="n"/>
      <c r="H568" s="19" t="n"/>
      <c r="I568" s="33" t="n"/>
      <c r="J568" s="19" t="n"/>
      <c r="K568" s="19" t="n"/>
    </row>
    <row r="569" ht="18" customHeight="1" s="42">
      <c r="A569" s="11" t="n"/>
      <c r="B569" s="11" t="n"/>
      <c r="C569" s="11" t="n"/>
      <c r="D569" s="11" t="n"/>
      <c r="E569" s="11" t="n"/>
      <c r="F569" s="11" t="n"/>
      <c r="G569" s="11" t="n"/>
      <c r="H569" s="11" t="n"/>
      <c r="I569" s="34" t="n"/>
      <c r="J569" s="11" t="n"/>
      <c r="K569" s="11" t="n"/>
    </row>
    <row r="570" ht="18" customHeight="1" s="42">
      <c r="A570" s="19" t="n"/>
      <c r="B570" s="19" t="n"/>
      <c r="C570" s="19" t="n"/>
      <c r="D570" s="19" t="n"/>
      <c r="E570" s="19" t="n"/>
      <c r="F570" s="19" t="n"/>
      <c r="G570" s="19" t="n"/>
      <c r="H570" s="19" t="n"/>
      <c r="I570" s="33" t="n"/>
      <c r="J570" s="19" t="n"/>
      <c r="K570" s="19" t="n"/>
    </row>
    <row r="571" ht="18" customHeight="1" s="42">
      <c r="A571" s="11" t="n"/>
      <c r="B571" s="11" t="n"/>
      <c r="C571" s="11" t="n"/>
      <c r="D571" s="11" t="n"/>
      <c r="E571" s="11" t="n"/>
      <c r="F571" s="11" t="n"/>
      <c r="G571" s="11" t="n"/>
      <c r="H571" s="11" t="n"/>
      <c r="I571" s="34" t="n"/>
      <c r="J571" s="11" t="n"/>
      <c r="K571" s="11" t="n"/>
    </row>
    <row r="572" ht="18" customHeight="1" s="42">
      <c r="A572" s="19" t="n"/>
      <c r="B572" s="19" t="n"/>
      <c r="C572" s="19" t="n"/>
      <c r="D572" s="19" t="n"/>
      <c r="E572" s="19" t="n"/>
      <c r="F572" s="19" t="n"/>
      <c r="G572" s="19" t="n"/>
      <c r="H572" s="19" t="n"/>
      <c r="I572" s="33" t="n"/>
      <c r="J572" s="19" t="n"/>
      <c r="K572" s="19" t="n"/>
    </row>
    <row r="573" ht="18" customHeight="1" s="42">
      <c r="A573" s="11" t="n"/>
      <c r="B573" s="11" t="n"/>
      <c r="C573" s="11" t="n"/>
      <c r="D573" s="11" t="n"/>
      <c r="E573" s="11" t="n"/>
      <c r="F573" s="11" t="n"/>
      <c r="G573" s="11" t="n"/>
      <c r="H573" s="11" t="n"/>
      <c r="I573" s="34" t="n"/>
      <c r="J573" s="11" t="n"/>
      <c r="K573" s="11" t="n"/>
    </row>
    <row r="574" ht="18" customHeight="1" s="42">
      <c r="A574" s="19" t="n"/>
      <c r="B574" s="19" t="n"/>
      <c r="C574" s="19" t="n"/>
      <c r="D574" s="19" t="n"/>
      <c r="E574" s="19" t="n"/>
      <c r="F574" s="19" t="n"/>
      <c r="G574" s="19" t="n"/>
      <c r="H574" s="19" t="n"/>
      <c r="I574" s="33" t="n"/>
      <c r="J574" s="19" t="n"/>
      <c r="K574" s="19" t="n"/>
    </row>
    <row r="575" ht="18" customHeight="1" s="42">
      <c r="A575" s="11" t="n"/>
      <c r="B575" s="11" t="n"/>
      <c r="C575" s="11" t="n"/>
      <c r="D575" s="11" t="n"/>
      <c r="E575" s="11" t="n"/>
      <c r="F575" s="11" t="n"/>
      <c r="G575" s="11" t="n"/>
      <c r="H575" s="11" t="n"/>
      <c r="I575" s="34" t="n"/>
      <c r="J575" s="11" t="n"/>
      <c r="K575" s="11" t="n"/>
    </row>
    <row r="576" ht="18" customHeight="1" s="42">
      <c r="A576" s="19" t="n"/>
      <c r="B576" s="19" t="n"/>
      <c r="C576" s="19" t="n"/>
      <c r="D576" s="19" t="n"/>
      <c r="E576" s="19" t="n"/>
      <c r="F576" s="19" t="n"/>
      <c r="G576" s="19" t="n"/>
      <c r="H576" s="19" t="n"/>
      <c r="I576" s="33" t="n"/>
      <c r="J576" s="19" t="n"/>
      <c r="K576" s="19" t="n"/>
    </row>
    <row r="577" ht="18" customHeight="1" s="42">
      <c r="A577" s="11" t="n"/>
      <c r="B577" s="11" t="n"/>
      <c r="C577" s="11" t="n"/>
      <c r="D577" s="11" t="n"/>
      <c r="E577" s="11" t="n"/>
      <c r="F577" s="11" t="n"/>
      <c r="G577" s="11" t="n"/>
      <c r="H577" s="11" t="n"/>
      <c r="I577" s="34" t="n"/>
      <c r="J577" s="11" t="n"/>
      <c r="K577" s="11" t="n"/>
    </row>
    <row r="578" ht="18" customHeight="1" s="42">
      <c r="A578" s="19" t="n"/>
      <c r="B578" s="19" t="n"/>
      <c r="C578" s="19" t="n"/>
      <c r="D578" s="19" t="n"/>
      <c r="E578" s="19" t="n"/>
      <c r="F578" s="19" t="n"/>
      <c r="G578" s="19" t="n"/>
      <c r="H578" s="19" t="n"/>
      <c r="I578" s="33" t="n"/>
      <c r="J578" s="19" t="n"/>
      <c r="K578" s="19" t="n"/>
    </row>
    <row r="579" ht="18" customHeight="1" s="42">
      <c r="A579" s="11" t="n"/>
      <c r="B579" s="11" t="n"/>
      <c r="C579" s="11" t="n"/>
      <c r="D579" s="11" t="n"/>
      <c r="E579" s="11" t="n"/>
      <c r="F579" s="11" t="n"/>
      <c r="G579" s="11" t="n"/>
      <c r="H579" s="11" t="n"/>
      <c r="I579" s="34" t="n"/>
      <c r="J579" s="11" t="n"/>
      <c r="K579" s="11" t="n"/>
    </row>
    <row r="580" ht="18" customHeight="1" s="42">
      <c r="A580" s="19" t="n"/>
      <c r="B580" s="19" t="n"/>
      <c r="C580" s="19" t="n"/>
      <c r="D580" s="19" t="n"/>
      <c r="E580" s="19" t="n"/>
      <c r="F580" s="19" t="n"/>
      <c r="G580" s="19" t="n"/>
      <c r="H580" s="19" t="n"/>
      <c r="I580" s="33" t="n"/>
      <c r="J580" s="19" t="n"/>
      <c r="K580" s="19" t="n"/>
    </row>
    <row r="581" ht="18" customHeight="1" s="42">
      <c r="A581" s="11" t="n"/>
      <c r="B581" s="11" t="n"/>
      <c r="C581" s="11" t="n"/>
      <c r="D581" s="11" t="n"/>
      <c r="E581" s="11" t="n"/>
      <c r="F581" s="11" t="n"/>
      <c r="G581" s="11" t="n"/>
      <c r="H581" s="11" t="n"/>
      <c r="I581" s="34" t="n"/>
      <c r="J581" s="11" t="n"/>
      <c r="K581" s="11" t="n"/>
    </row>
    <row r="582" ht="18" customHeight="1" s="42">
      <c r="A582" s="19" t="n"/>
      <c r="B582" s="19" t="n"/>
      <c r="C582" s="19" t="n"/>
      <c r="D582" s="19" t="n"/>
      <c r="E582" s="19" t="n"/>
      <c r="F582" s="19" t="n"/>
      <c r="G582" s="19" t="n"/>
      <c r="H582" s="19" t="n"/>
      <c r="I582" s="33" t="n"/>
      <c r="J582" s="19" t="n"/>
      <c r="K582" s="19" t="n"/>
    </row>
    <row r="583" ht="18" customHeight="1" s="42">
      <c r="A583" s="11" t="n"/>
      <c r="B583" s="11" t="n"/>
      <c r="C583" s="11" t="n"/>
      <c r="D583" s="11" t="n"/>
      <c r="E583" s="11" t="n"/>
      <c r="F583" s="11" t="n"/>
      <c r="G583" s="11" t="n"/>
      <c r="H583" s="11" t="n"/>
      <c r="I583" s="34" t="n"/>
      <c r="J583" s="11" t="n"/>
      <c r="K583" s="11" t="n"/>
    </row>
    <row r="584" ht="18" customHeight="1" s="42">
      <c r="A584" s="19" t="n"/>
      <c r="B584" s="19" t="n"/>
      <c r="C584" s="19" t="n"/>
      <c r="D584" s="19" t="n"/>
      <c r="E584" s="19" t="n"/>
      <c r="F584" s="19" t="n"/>
      <c r="G584" s="19" t="n"/>
      <c r="H584" s="19" t="n"/>
      <c r="I584" s="33" t="n"/>
      <c r="J584" s="19" t="n"/>
      <c r="K584" s="19" t="n"/>
    </row>
    <row r="585" ht="18" customHeight="1" s="42">
      <c r="A585" s="11" t="n"/>
      <c r="B585" s="11" t="n"/>
      <c r="C585" s="11" t="n"/>
      <c r="D585" s="11" t="n"/>
      <c r="E585" s="11" t="n"/>
      <c r="F585" s="11" t="n"/>
      <c r="G585" s="11" t="n"/>
      <c r="H585" s="11" t="n"/>
      <c r="I585" s="34" t="n"/>
      <c r="J585" s="11" t="n"/>
      <c r="K585" s="11" t="n"/>
    </row>
    <row r="586" ht="18" customHeight="1" s="42">
      <c r="A586" s="19" t="n"/>
      <c r="B586" s="19" t="n"/>
      <c r="C586" s="19" t="n"/>
      <c r="D586" s="19" t="n"/>
      <c r="E586" s="19" t="n"/>
      <c r="F586" s="19" t="n"/>
      <c r="G586" s="19" t="n"/>
      <c r="H586" s="19" t="n"/>
      <c r="I586" s="33" t="n"/>
      <c r="J586" s="19" t="n"/>
      <c r="K586" s="19" t="n"/>
    </row>
    <row r="587" ht="18" customHeight="1" s="42">
      <c r="A587" s="11" t="n"/>
      <c r="B587" s="11" t="n"/>
      <c r="C587" s="11" t="n"/>
      <c r="D587" s="11" t="n"/>
      <c r="E587" s="11" t="n"/>
      <c r="F587" s="11" t="n"/>
      <c r="G587" s="11" t="n"/>
      <c r="H587" s="11" t="n"/>
      <c r="I587" s="34" t="n"/>
      <c r="J587" s="11" t="n"/>
      <c r="K587" s="11" t="n"/>
    </row>
    <row r="588" ht="18" customHeight="1" s="42">
      <c r="A588" s="19" t="n"/>
      <c r="B588" s="19" t="n"/>
      <c r="C588" s="19" t="n"/>
      <c r="D588" s="19" t="n"/>
      <c r="E588" s="19" t="n"/>
      <c r="F588" s="19" t="n"/>
      <c r="G588" s="19" t="n"/>
      <c r="H588" s="19" t="n"/>
      <c r="I588" s="33" t="n"/>
      <c r="J588" s="19" t="n"/>
      <c r="K588" s="19" t="n"/>
    </row>
    <row r="589" ht="18" customHeight="1" s="42">
      <c r="A589" s="11" t="n"/>
      <c r="B589" s="11" t="n"/>
      <c r="C589" s="11" t="n"/>
      <c r="D589" s="11" t="n"/>
      <c r="E589" s="11" t="n"/>
      <c r="F589" s="11" t="n"/>
      <c r="G589" s="11" t="n"/>
      <c r="H589" s="11" t="n"/>
      <c r="I589" s="34" t="n"/>
      <c r="J589" s="11" t="n"/>
      <c r="K589" s="11" t="n"/>
    </row>
    <row r="590" ht="18" customHeight="1" s="42">
      <c r="A590" s="19" t="n"/>
      <c r="B590" s="19" t="n"/>
      <c r="C590" s="19" t="n"/>
      <c r="D590" s="19" t="n"/>
      <c r="E590" s="19" t="n"/>
      <c r="F590" s="19" t="n"/>
      <c r="G590" s="19" t="n"/>
      <c r="H590" s="19" t="n"/>
      <c r="I590" s="33" t="n"/>
      <c r="J590" s="19" t="n"/>
      <c r="K590" s="19" t="n"/>
    </row>
    <row r="591" ht="18" customHeight="1" s="42">
      <c r="A591" s="11" t="n"/>
      <c r="B591" s="11" t="n"/>
      <c r="C591" s="11" t="n"/>
      <c r="D591" s="11" t="n"/>
      <c r="E591" s="11" t="n"/>
      <c r="F591" s="11" t="n"/>
      <c r="G591" s="11" t="n"/>
      <c r="H591" s="11" t="n"/>
      <c r="I591" s="34" t="n"/>
      <c r="J591" s="11" t="n"/>
      <c r="K591" s="11" t="n"/>
    </row>
    <row r="592" ht="18" customHeight="1" s="42">
      <c r="A592" s="19" t="n"/>
      <c r="B592" s="19" t="n"/>
      <c r="C592" s="19" t="n"/>
      <c r="D592" s="19" t="n"/>
      <c r="E592" s="19" t="n"/>
      <c r="F592" s="19" t="n"/>
      <c r="G592" s="19" t="n"/>
      <c r="H592" s="19" t="n"/>
      <c r="I592" s="33" t="n"/>
      <c r="J592" s="19" t="n"/>
      <c r="K592" s="19" t="n"/>
    </row>
    <row r="593" ht="18" customHeight="1" s="42">
      <c r="A593" s="11" t="n"/>
      <c r="B593" s="11" t="n"/>
      <c r="C593" s="11" t="n"/>
      <c r="D593" s="11" t="n"/>
      <c r="E593" s="11" t="n"/>
      <c r="F593" s="11" t="n"/>
      <c r="G593" s="11" t="n"/>
      <c r="H593" s="11" t="n"/>
      <c r="I593" s="34" t="n"/>
      <c r="J593" s="11" t="n"/>
      <c r="K593" s="11" t="n"/>
    </row>
    <row r="594" ht="18" customHeight="1" s="42">
      <c r="A594" s="19" t="n"/>
      <c r="B594" s="19" t="n"/>
      <c r="C594" s="19" t="n"/>
      <c r="D594" s="19" t="n"/>
      <c r="E594" s="19" t="n"/>
      <c r="F594" s="19" t="n"/>
      <c r="G594" s="19" t="n"/>
      <c r="H594" s="19" t="n"/>
      <c r="I594" s="33" t="n"/>
      <c r="J594" s="19" t="n"/>
      <c r="K594" s="19" t="n"/>
    </row>
    <row r="595" ht="18" customHeight="1" s="42">
      <c r="A595" s="11" t="n"/>
      <c r="B595" s="11" t="n"/>
      <c r="C595" s="11" t="n"/>
      <c r="D595" s="11" t="n"/>
      <c r="E595" s="11" t="n"/>
      <c r="F595" s="11" t="n"/>
      <c r="G595" s="11" t="n"/>
      <c r="H595" s="11" t="n"/>
      <c r="I595" s="34" t="n"/>
      <c r="J595" s="11" t="n"/>
      <c r="K595" s="11" t="n"/>
    </row>
    <row r="596" ht="18" customHeight="1" s="42">
      <c r="A596" s="19" t="n"/>
      <c r="B596" s="19" t="n"/>
      <c r="C596" s="19" t="n"/>
      <c r="D596" s="19" t="n"/>
      <c r="E596" s="19" t="n"/>
      <c r="F596" s="19" t="n"/>
      <c r="G596" s="19" t="n"/>
      <c r="H596" s="19" t="n"/>
      <c r="I596" s="33" t="n"/>
      <c r="J596" s="19" t="n"/>
      <c r="K596" s="19" t="n"/>
    </row>
    <row r="597" ht="18" customHeight="1" s="42">
      <c r="A597" s="11" t="n"/>
      <c r="B597" s="11" t="n"/>
      <c r="C597" s="11" t="n"/>
      <c r="D597" s="11" t="n"/>
      <c r="E597" s="11" t="n"/>
      <c r="F597" s="11" t="n"/>
      <c r="G597" s="11" t="n"/>
      <c r="H597" s="11" t="n"/>
      <c r="I597" s="34" t="n"/>
      <c r="J597" s="11" t="n"/>
      <c r="K597" s="11" t="n"/>
    </row>
    <row r="598" ht="18" customHeight="1" s="42">
      <c r="A598" s="19" t="n"/>
      <c r="B598" s="19" t="n"/>
      <c r="C598" s="19" t="n"/>
      <c r="D598" s="19" t="n"/>
      <c r="E598" s="19" t="n"/>
      <c r="F598" s="19" t="n"/>
      <c r="G598" s="19" t="n"/>
      <c r="H598" s="19" t="n"/>
      <c r="I598" s="33" t="n"/>
      <c r="J598" s="19" t="n"/>
      <c r="K598" s="19" t="n"/>
    </row>
    <row r="599" ht="18" customHeight="1" s="42">
      <c r="A599" s="11" t="n"/>
      <c r="B599" s="11" t="n"/>
      <c r="C599" s="11" t="n"/>
      <c r="D599" s="11" t="n"/>
      <c r="E599" s="11" t="n"/>
      <c r="F599" s="11" t="n"/>
      <c r="G599" s="11" t="n"/>
      <c r="H599" s="11" t="n"/>
      <c r="I599" s="34" t="n"/>
      <c r="J599" s="11" t="n"/>
      <c r="K599" s="11" t="n"/>
    </row>
    <row r="600" ht="18" customHeight="1" s="42">
      <c r="A600" s="19" t="n"/>
      <c r="B600" s="19" t="n"/>
      <c r="C600" s="19" t="n"/>
      <c r="D600" s="19" t="n"/>
      <c r="E600" s="19" t="n"/>
      <c r="F600" s="19" t="n"/>
      <c r="G600" s="19" t="n"/>
      <c r="H600" s="19" t="n"/>
      <c r="I600" s="33" t="n"/>
      <c r="J600" s="19" t="n"/>
      <c r="K600" s="19" t="n"/>
    </row>
  </sheetData>
  <autoFilter ref="A4:J600"/>
  <mergeCells count="2">
    <mergeCell ref="A2:K2"/>
    <mergeCell ref="A1:K1"/>
  </mergeCells>
  <conditionalFormatting sqref="F5:F600">
    <cfRule type="cellIs" priority="1" operator="equal" dxfId="2">
      <formula>"Pass"</formula>
    </cfRule>
    <cfRule type="cellIs" priority="2" operator="equal" dxfId="1">
      <formula>"Fail"</formula>
    </cfRule>
    <cfRule type="cellIs" priority="3" operator="equal" dxfId="4">
      <formula>"N/A"</formula>
    </cfRule>
    <cfRule type="cellIs" priority="4" operator="equal" dxfId="0">
      <formula>"Not run"</formula>
    </cfRule>
  </conditionalFormatting>
  <dataValidations count="2">
    <dataValidation sqref="F5:F600" showDropDown="0" showInputMessage="0" showErrorMessage="0" allowBlank="1" errorTitle="Result" error="Enter Pass, Fail, N/A or Not run." type="list">
      <formula1>"Pass,Fail,N/A,Not run"</formula1>
    </dataValidation>
    <dataValidation sqref="E5:E600" showDropDown="0" showInputMessage="0" showErrorMessage="0" allowBlank="1" type="list">
      <formula1>"Blocking,Advisory"</formula1>
    </dataValidation>
  </dataValidation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I21"/>
  <sheetViews>
    <sheetView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5" customWidth="1" style="42" min="1" max="1"/>
    <col width="26" customWidth="1" style="42" min="2" max="2"/>
    <col width="44" customWidth="1" style="42" min="3" max="3"/>
    <col width="42" customWidth="1" style="42" min="4" max="4"/>
    <col width="17" customWidth="1" style="42" min="5" max="5"/>
    <col width="50" customWidth="1" style="42" min="6" max="6"/>
    <col width="11" customWidth="1" style="42" min="7" max="7"/>
    <col width="15" customWidth="1" style="42" min="8" max="8"/>
    <col width="34" customWidth="1" style="42" min="9" max="9"/>
  </cols>
  <sheetData>
    <row r="1" ht="24" customHeight="1" s="42">
      <c r="A1" s="62" t="inlineStr">
        <is>
          <t>Check Catalog — the seventeen pre-publication checks</t>
        </is>
      </c>
    </row>
    <row r="2" ht="30" customHeight="1" s="42">
      <c r="A2" s="63" t="inlineStr">
        <is>
          <t>The reference copy, expanded from document 02 §9 with what each check protects, where it runs and how. Read-only in practice: change it here and in document 02 §9 together, never in one place only. The last column links to the step-by-step procedure for that check in docs/validation/ — open the .docx to read it or the .xlsx to tick the steps as you go.</t>
        </is>
      </c>
    </row>
    <row r="3"/>
    <row r="4" ht="34" customHeight="1" s="42">
      <c r="A4" s="8" t="inlineStr">
        <is>
          <t>#</t>
        </is>
      </c>
      <c r="B4" s="8" t="inlineStr">
        <is>
          <t>Check</t>
        </is>
      </c>
      <c r="C4" s="8" t="inlineStr">
        <is>
          <t>Pass criterion</t>
        </is>
      </c>
      <c r="D4" s="8" t="inlineStr">
        <is>
          <t>What it protects against</t>
        </is>
      </c>
      <c r="E4" s="8" t="inlineStr">
        <is>
          <t>Where it runs</t>
        </is>
      </c>
      <c r="F4" s="8" t="inlineStr">
        <is>
          <t>How to run it</t>
        </is>
      </c>
      <c r="G4" s="8" t="inlineStr">
        <is>
          <t>Severity</t>
        </is>
      </c>
      <c r="H4" s="8" t="inlineStr">
        <is>
          <t>Re-run after a fact-table reload</t>
        </is>
      </c>
      <c r="I4" s="8" t="inlineStr">
        <is>
          <t>Step-by-step procedure</t>
        </is>
      </c>
    </row>
    <row r="5" ht="58" customHeight="1" s="42">
      <c r="A5" s="13" t="n">
        <v>1</v>
      </c>
      <c r="B5" s="25" t="inlineStr">
        <is>
          <t>Staged versus loaded rows</t>
        </is>
      </c>
      <c r="C5" s="16" t="inlineStr">
        <is>
          <t>Zero difference, or every dropped row explained and documented</t>
        </is>
      </c>
      <c r="D5" s="16" t="inlineStr">
        <is>
          <t>A silent load failure. Rows lost to a failed date predicate or an absent dimension key never raise an error.</t>
        </is>
      </c>
      <c r="E5" s="35" t="inlineStr">
        <is>
          <t>SSMS</t>
        </is>
      </c>
      <c r="F5" s="16" t="inlineStr">
        <is>
          <t>Run the staged-versus-loaded reconciliation at the end of sql/05_fact_and_proc.sql (doc 02 §5.7). Record both counts, not just the difference.</t>
        </is>
      </c>
      <c r="G5" s="26" t="inlineStr">
        <is>
          <t>Blocking</t>
        </is>
      </c>
      <c r="H5" s="36" t="inlineStr">
        <is>
          <t>Yes</t>
        </is>
      </c>
      <c r="I5" s="64" t="inlineStr">
        <is>
          <t>V01_Staged_vs_Loaded_Rows</t>
        </is>
      </c>
    </row>
    <row r="6" ht="58" customHeight="1" s="42">
      <c r="A6" s="21" t="n">
        <v>2</v>
      </c>
      <c r="B6" s="28" t="inlineStr">
        <is>
          <t>Sector month coverage</t>
        </is>
      </c>
      <c r="C6" s="24" t="inlineStr">
        <is>
          <t>No gaps in the monthly sequence for 44X72 across the window</t>
        </is>
      </c>
      <c r="D6" s="24" t="inlineStr">
        <is>
          <t>A missing month reads as a collapse on every line chart and pulls every 3M and 12M average with it.</t>
        </is>
      </c>
      <c r="E6" s="37" t="inlineStr">
        <is>
          <t>SSMS or Power BI</t>
        </is>
      </c>
      <c r="F6" s="24" t="inlineStr">
        <is>
          <t>Group FactSectorSales by DateKey for category 44X72 and confirm one row per month from pStartPeriod through the latest published MARTS month. A COUNTROWS card by year is enough.</t>
        </is>
      </c>
      <c r="G6" s="29" t="inlineStr">
        <is>
          <t>Blocking</t>
        </is>
      </c>
      <c r="H6" s="38" t="inlineStr">
        <is>
          <t>Yes</t>
        </is>
      </c>
      <c r="I6" s="65" t="inlineStr">
        <is>
          <t>V02_Sector_Month_Coverage</t>
        </is>
      </c>
    </row>
    <row r="7" ht="58" customHeight="1" s="42">
      <c r="A7" s="13" t="n">
        <v>3</v>
      </c>
      <c r="B7" s="25" t="inlineStr">
        <is>
          <t>Aggregate reconciliation</t>
        </is>
      </c>
      <c r="C7" s="16" t="inlineStr">
        <is>
          <t>Non-aggregate categories approximate 44X72 directionally; categories overlap, so exact equality is not expected - document what you find</t>
        </is>
      </c>
      <c r="D7" s="16" t="inlineStr">
        <is>
          <t>Treating an overlapping category set as a partition, and reporting a sum that double-counts.</t>
        </is>
      </c>
      <c r="E7" s="35" t="inlineStr">
        <is>
          <t>Power BI</t>
        </is>
      </c>
      <c r="F7" s="16" t="inlineStr">
        <is>
          <t>Put Sector Sales by category and Total Retail and Food Services on one table for a single month. Record the gap and the reason for it, not a pass mark.</t>
        </is>
      </c>
      <c r="G7" s="31" t="inlineStr">
        <is>
          <t>Advisory</t>
        </is>
      </c>
      <c r="H7" s="36" t="inlineStr">
        <is>
          <t>Yes</t>
        </is>
      </c>
      <c r="I7" s="64" t="inlineStr">
        <is>
          <t>V03_Aggregate_Reconciliation</t>
        </is>
      </c>
    </row>
    <row r="8" ht="58" customHeight="1" s="42">
      <c r="A8" s="21" t="n">
        <v>4</v>
      </c>
      <c r="B8" s="28" t="inlineStr">
        <is>
          <t>Census versus FRED cross-check</t>
        </is>
      </c>
      <c r="C8" s="24" t="inlineStr">
        <is>
          <t>MARTS 452 for a given month is within rounding of MRTSSM452USS. A material gap means a wrong code or a seasonal-adjustment mismatch</t>
        </is>
      </c>
      <c r="D8" s="24" t="inlineStr">
        <is>
          <t>A wrong NAICS code or an adjusted-versus-unadjusted mismatch, which is invisible in a single series and obvious across two.</t>
        </is>
      </c>
      <c r="E8" s="37" t="inlineStr">
        <is>
          <t>Power BI and fred.stlouisfed.org</t>
        </is>
      </c>
      <c r="F8" s="24" t="inlineStr">
        <is>
          <t>Filter to one month, read the Sector Sales card for 452, and compare against the MRTSSM452USS series page. Record both figures and the month.</t>
        </is>
      </c>
      <c r="G8" s="29" t="inlineStr">
        <is>
          <t>Blocking</t>
        </is>
      </c>
      <c r="H8" s="38" t="inlineStr">
        <is>
          <t>Yes</t>
        </is>
      </c>
      <c r="I8" s="65" t="inlineStr">
        <is>
          <t>V04_Census_vs_FRED_Cross_Check</t>
        </is>
      </c>
    </row>
    <row r="9" ht="70" customHeight="1" s="42">
      <c r="A9" s="13" t="n">
        <v>5</v>
      </c>
      <c r="B9" s="25" t="inlineStr">
        <is>
          <t>Referential integrity</t>
        </is>
      </c>
      <c r="C9" s="16" t="inlineStr">
        <is>
          <t>The §6.5 coverage query returns zero rows</t>
        </is>
      </c>
      <c r="D9" s="16" t="inlineStr">
        <is>
          <t>Unmapped category codes, which appear in the reports as a blank slicer entry.</t>
        </is>
      </c>
      <c r="E9" s="35" t="inlineStr">
        <is>
          <t>Power BI — Power Query (doc 02 §6.5) or DAX query view (V05)</t>
        </is>
      </c>
      <c r="F9" s="16" t="inlineStr">
        <is>
          <t>Run the coverage query in doc 02 §6.5, or the DAX EXCEPT query in V05. A non-zero result lists exactly which category codes are missing from RefMappings.xlsx. Item-type mapping is checked separately: no “Unmapped” entry in the ItemType slicer (doc 25 G2.05).</t>
        </is>
      </c>
      <c r="G9" s="26" t="inlineStr">
        <is>
          <t>Blocking</t>
        </is>
      </c>
      <c r="H9" s="36" t="inlineStr">
        <is>
          <t>Yes</t>
        </is>
      </c>
      <c r="I9" s="64" t="inlineStr">
        <is>
          <t>V05_Referential_Integrity</t>
        </is>
      </c>
    </row>
    <row r="10" ht="58" customHeight="1" s="42">
      <c r="A10" s="21" t="n">
        <v>6</v>
      </c>
      <c r="B10" s="28" t="inlineStr">
        <is>
          <t>Date relationship integrity</t>
        </is>
      </c>
      <c r="C10" s="24" t="inlineStr">
        <is>
          <t>No blank row appears in DimDate in Model view</t>
        </is>
      </c>
      <c r="D10" s="24" t="inlineStr">
        <is>
          <t>Fact dates outside the DimDate range. Power BI creates a blank row silently and time intelligence goes quietly wrong.</t>
        </is>
      </c>
      <c r="E10" s="37" t="inlineStr">
        <is>
          <t>Power BI Model view</t>
        </is>
      </c>
      <c r="F10" s="24" t="inlineStr">
        <is>
          <t>Open Model view, select DimDate and look for the blank member. Also confirm MIN and MAX of DateKey in each fact fall inside DimDate.</t>
        </is>
      </c>
      <c r="G10" s="29" t="inlineStr">
        <is>
          <t>Blocking</t>
        </is>
      </c>
      <c r="H10" s="38" t="inlineStr">
        <is>
          <t>Yes</t>
        </is>
      </c>
      <c r="I10" s="65" t="inlineStr">
        <is>
          <t>V06_Date_Relationship_Integrity</t>
        </is>
      </c>
    </row>
    <row r="11" ht="58" customHeight="1" s="42">
      <c r="A11" s="13" t="n">
        <v>7</v>
      </c>
      <c r="B11" s="25" t="inlineStr">
        <is>
          <t>Measure unit consistency</t>
        </is>
      </c>
      <c r="C11" s="16" t="inlineStr">
        <is>
          <t>No visual places a percent and a dollar series on one axis without indexing or a secondary axis</t>
        </is>
      </c>
      <c r="D11" s="16" t="inlineStr">
        <is>
          <t>A chart that is arithmetically true and visually meaningless.</t>
        </is>
      </c>
      <c r="E11" s="35" t="inlineStr">
        <is>
          <t>Power BI</t>
        </is>
      </c>
      <c r="F11" s="16" t="inlineStr">
        <is>
          <t>Walk the doc 15 spec tables and check the axis assignment on every combination chart. Record the visuals inspected, not just the verdict.</t>
        </is>
      </c>
      <c r="G11" s="26" t="inlineStr">
        <is>
          <t>Blocking</t>
        </is>
      </c>
      <c r="H11" s="31" t="inlineStr">
        <is>
          <t>No</t>
        </is>
      </c>
      <c r="I11" s="64" t="inlineStr">
        <is>
          <t>V07_Measure_Unit_Consistency</t>
        </is>
      </c>
    </row>
    <row r="12" ht="70" customHeight="1" s="42">
      <c r="A12" s="21" t="n">
        <v>8</v>
      </c>
      <c r="B12" s="28" t="inlineStr">
        <is>
          <t>Cases versus dollars separation</t>
        </is>
      </c>
      <c r="C12" s="24" t="inlineStr">
        <is>
          <t>No visual, matrix or sentence places a case measure beside a nominal dollar measure. Every Tier 3 axis is labelled Cases. The only permitted pairing is Total Cases YoY % against National Liquor Stores Real YoY %</t>
        </is>
      </c>
      <c r="D12" s="24" t="inlineStr">
        <is>
          <t>The single error that would discredit the whole project: comparing physical volume to nominal dollars as though inflation were not in one of them.</t>
        </is>
      </c>
      <c r="E12" s="37" t="inlineStr">
        <is>
          <t>Power BI</t>
        </is>
      </c>
      <c r="F12" s="24" t="inlineStr">
        <is>
          <t>Inspect every visual on the V08 list — every visual carrying a case measure, the text on those pages, the drillthrough page and the tooltip page — including each tooltip. This is the check to run last and to run slowly.</t>
        </is>
      </c>
      <c r="G12" s="29" t="inlineStr">
        <is>
          <t>Blocking</t>
        </is>
      </c>
      <c r="H12" s="32" t="inlineStr">
        <is>
          <t>No</t>
        </is>
      </c>
      <c r="I12" s="65" t="inlineStr">
        <is>
          <t>V08_Cases_vs_Dollars_Separation</t>
        </is>
      </c>
    </row>
    <row r="13" ht="83.5" customHeight="1" s="42">
      <c r="A13" s="13" t="n">
        <v>9</v>
      </c>
      <c r="B13" s="25" t="inlineStr">
        <is>
          <t>Channel baseline integrity</t>
        </is>
      </c>
      <c r="C13" s="16" t="inlineStr">
        <is>
          <t>On-Premise Share 2019 Baseline returns a value under every slicer combination used, including a BeverageClass with no 2019 history</t>
        </is>
      </c>
      <c r="D13" s="16" t="inlineStr">
        <is>
          <t>A card that goes (Blank) in front of a reviewer because the baseline context was emptied by a slicer.</t>
        </is>
      </c>
      <c r="E13" s="35" t="inlineStr">
        <is>
          <t>Power BI</t>
        </is>
      </c>
      <c r="F13" s="16" t="inlineStr">
        <is>
          <t>Run the V09 queries across BeverageClass × ItemType × Year for On-Premise Share 2019 Baseline and Item Type Share vs 2019 (pp); then on R1 Page 3 and R2 Page 2 step through the date slicer (including ranges without 2019) and every slicer value, and confirm no baseline visual blanks.</t>
        </is>
      </c>
      <c r="G13" s="26" t="inlineStr">
        <is>
          <t>Blocking</t>
        </is>
      </c>
      <c r="H13" s="36" t="inlineStr">
        <is>
          <t>Yes</t>
        </is>
      </c>
      <c r="I13" s="64" t="inlineStr">
        <is>
          <t>V09_Channel_Baseline_Integrity</t>
        </is>
      </c>
    </row>
    <row r="14" ht="58" customHeight="1" s="42">
      <c r="A14" s="21" t="n">
        <v>10</v>
      </c>
      <c r="B14" s="28" t="inlineStr">
        <is>
          <t>Channel story has a national counterpart</t>
        </is>
      </c>
      <c r="C14" s="24" t="inlineStr">
        <is>
          <t>The 2020 divergence between 722 and 4453 moves in the same direction and months as the local on-premise collapse. If not, the local series reflects county policy rather than consumer behaviour and the narrative must be reframed</t>
        </is>
      </c>
      <c r="D14" s="24" t="inlineStr">
        <is>
          <t>Presenting a county policy artefact as a consumer-behaviour finding.</t>
        </is>
      </c>
      <c r="E14" s="37" t="inlineStr">
        <is>
          <t>Power BI</t>
        </is>
      </c>
      <c r="F14" s="24" t="inlineStr">
        <is>
          <t>Overlay the 722 and 4453 national series against local On-Premise Share for 2019-2021. Record the direction and the months, not a yes or no.</t>
        </is>
      </c>
      <c r="G14" s="32" t="inlineStr">
        <is>
          <t>Advisory</t>
        </is>
      </c>
      <c r="H14" s="38" t="inlineStr">
        <is>
          <t>Yes</t>
        </is>
      </c>
      <c r="I14" s="65" t="inlineStr">
        <is>
          <t>V10_Channel_Story_National_Counterpart</t>
        </is>
      </c>
    </row>
    <row r="15" ht="43" customHeight="1" s="42">
      <c r="A15" s="13" t="n">
        <v>11</v>
      </c>
      <c r="B15" s="25" t="inlineStr">
        <is>
          <t>Negative value handling</t>
        </is>
      </c>
      <c r="C15" s="16" t="inlineStr">
        <is>
          <t>Return Rows is non-zero and the report explains it rather than filtering it away</t>
        </is>
      </c>
      <c r="D15" s="16" t="inlineStr">
        <is>
          <t>Quietly deleting the returns that make the data real.</t>
        </is>
      </c>
      <c r="E15" s="35" t="inlineStr">
        <is>
          <t>Power BI</t>
        </is>
      </c>
      <c r="F15" s="16" t="inlineStr">
        <is>
          <t>Read the Return Rows card unfiltered, confirm the tooltip on card 3.8 explains returns (doc 15 spec 3.8), and that no filter removes negative values.</t>
        </is>
      </c>
      <c r="G15" s="31" t="inlineStr">
        <is>
          <t>Advisory</t>
        </is>
      </c>
      <c r="H15" s="36" t="inlineStr">
        <is>
          <t>Yes</t>
        </is>
      </c>
      <c r="I15" s="64" t="inlineStr">
        <is>
          <t>V11_Negative_Value_Handling</t>
        </is>
      </c>
    </row>
    <row r="16" ht="58" customHeight="1" s="42">
      <c r="A16" s="21" t="n">
        <v>12</v>
      </c>
      <c r="B16" s="28" t="inlineStr">
        <is>
          <t>Lifecycle columns current</t>
        </is>
      </c>
      <c r="C16" s="24" t="inlineStr">
        <is>
          <t>MAX(LastSeenDateKey) in DimItem equals MAX(DateKey) in the fact. A mismatch means §5.8 was not re-run and every survival figure is stale</t>
        </is>
      </c>
      <c r="D16" s="24" t="inlineStr">
        <is>
          <t>Stale derived columns after a reload. Nothing errors; the survival curves are simply wrong.</t>
        </is>
      </c>
      <c r="E16" s="37" t="inlineStr">
        <is>
          <t>SSMS</t>
        </is>
      </c>
      <c r="F16" s="24" t="inlineStr">
        <is>
          <t>SELECT MAX(LastSeenDateKey) FROM dw.DimItem and SELECT MAX(DateKey) FROM the fact table. Record both values.</t>
        </is>
      </c>
      <c r="G16" s="29" t="inlineStr">
        <is>
          <t>Blocking</t>
        </is>
      </c>
      <c r="H16" s="38" t="inlineStr">
        <is>
          <t>Yes</t>
        </is>
      </c>
      <c r="I16" s="65" t="inlineStr">
        <is>
          <t>V12_Lifecycle_Columns_Current</t>
        </is>
      </c>
    </row>
    <row r="17" ht="43" customHeight="1" s="42">
      <c r="A17" s="13" t="n">
        <v>13</v>
      </c>
      <c r="B17" s="25" t="inlineStr">
        <is>
          <t>Cohort census</t>
        </is>
      </c>
      <c r="C17" s="16" t="inlineStr">
        <is>
          <t>Cohort Size summed across CohortYear equals the DimItem row count</t>
        </is>
      </c>
      <c r="D17" s="16" t="inlineStr">
        <is>
          <t>Items with no cohort year, which silently drop out of every survival figure.</t>
        </is>
      </c>
      <c r="E17" s="35" t="inlineStr">
        <is>
          <t>Power BI</t>
        </is>
      </c>
      <c r="F17" s="16" t="inlineStr">
        <is>
          <t>Place Cohort Size on a table by CohortYear with a total, and compare the total against COUNTROWS(DimItem). V13 Part 2 does this in DAX query view.</t>
        </is>
      </c>
      <c r="G17" s="26" t="inlineStr">
        <is>
          <t>Blocking</t>
        </is>
      </c>
      <c r="H17" s="36" t="inlineStr">
        <is>
          <t>Yes</t>
        </is>
      </c>
      <c r="I17" s="64" t="inlineStr">
        <is>
          <t>V13_Cohort_Census</t>
        </is>
      </c>
    </row>
    <row r="18" ht="56.5" customHeight="1" s="42">
      <c r="A18" s="21" t="n">
        <v>14</v>
      </c>
      <c r="B18" s="28" t="inlineStr">
        <is>
          <t>Pareto accumulation</t>
        </is>
      </c>
      <c r="C18" s="24" t="inlineStr">
        <is>
          <t>Cumulative Cases % reaches exactly 100% at the lowest-ranked item under every slicer combination</t>
        </is>
      </c>
      <c r="D18" s="24" t="inlineStr">
        <is>
          <t>A ranking context and a total context that disagree, which is what a Pareto line stopping short of the right edge means.</t>
        </is>
      </c>
      <c r="E18" s="37" t="inlineStr">
        <is>
          <t>Power BI</t>
        </is>
      </c>
      <c r="F18" s="24" t="inlineStr">
        <is>
          <t>Run the V14 query with no filter and again under each year and item type (Part 1b) — Cumulative must be exactly 1 each time. The R3 Pareto shows the top 100 items only, so the chart confirms behaviour, not the criterion.</t>
        </is>
      </c>
      <c r="G18" s="29" t="inlineStr">
        <is>
          <t>Blocking</t>
        </is>
      </c>
      <c r="H18" s="38" t="inlineStr">
        <is>
          <t>Yes</t>
        </is>
      </c>
      <c r="I18" s="65" t="inlineStr">
        <is>
          <t>V14_Pareto_Accumulation</t>
        </is>
      </c>
    </row>
    <row r="19" ht="58" customHeight="1" s="42">
      <c r="A19" s="13" t="n">
        <v>15</v>
      </c>
      <c r="B19" s="25" t="inlineStr">
        <is>
          <t>Coefficients carry their sample</t>
        </is>
      </c>
      <c r="C19" s="16" t="inlineStr">
        <is>
          <t>Every visual showing a slope or correlation also shows Observation Count</t>
        </is>
      </c>
      <c r="D19" s="16" t="inlineStr">
        <is>
          <t>A correlation quoted from four points.</t>
        </is>
      </c>
      <c r="E19" s="35" t="inlineStr">
        <is>
          <t>Power BI</t>
        </is>
      </c>
      <c r="F19" s="16" t="inlineStr">
        <is>
          <t>List every visual using Volume Stress Sensitivity, Volume Stress Correlation or Rate Sensitivity Beta and confirm Observation Count is on the page.</t>
        </is>
      </c>
      <c r="G19" s="26" t="inlineStr">
        <is>
          <t>Blocking</t>
        </is>
      </c>
      <c r="H19" s="31" t="inlineStr">
        <is>
          <t>No</t>
        </is>
      </c>
      <c r="I19" s="64" t="inlineStr">
        <is>
          <t>V15_Coefficients_Carry_Their_Sample</t>
        </is>
      </c>
    </row>
    <row r="20" ht="58" customHeight="1" s="42">
      <c r="A20" s="21" t="n">
        <v>16</v>
      </c>
      <c r="B20" s="28" t="inlineStr">
        <is>
          <t>Left-censored cohort labelled</t>
        </is>
      </c>
      <c r="C20" s="24" t="inlineStr">
        <is>
          <t>2017 is excluded from or explicitly labelled on every survival visual</t>
        </is>
      </c>
      <c r="D20" s="24" t="inlineStr">
        <is>
          <t>Reporting an artefact of where the data starts as a finding about item survival.</t>
        </is>
      </c>
      <c r="E20" s="37" t="inlineStr">
        <is>
          <t>Power BI</t>
        </is>
      </c>
      <c r="F20" s="24" t="inlineStr">
        <is>
          <t>Check each survival visual for either a 2017 exclusion in the filter pane or the caveat text box.</t>
        </is>
      </c>
      <c r="G20" s="29" t="inlineStr">
        <is>
          <t>Blocking</t>
        </is>
      </c>
      <c r="H20" s="32" t="inlineStr">
        <is>
          <t>No</t>
        </is>
      </c>
      <c r="I20" s="65" t="inlineStr">
        <is>
          <t>V16_Left_Censored_Cohort_Labelled</t>
        </is>
      </c>
    </row>
    <row r="21" ht="58" customHeight="1" s="42">
      <c r="A21" s="13" t="n">
        <v>17</v>
      </c>
      <c r="B21" s="25" t="inlineStr">
        <is>
          <t>Report-to-model binding</t>
        </is>
      </c>
      <c r="C21" s="16" t="inlineStr">
        <is>
          <t>All three reports open against the published model with no local model - the live connection indicator, not an editable Fields pane</t>
        </is>
      </c>
      <c r="D21" s="16" t="inlineStr">
        <is>
          <t>A report that quietly carries its own copy of the model, which is the divergence the shared model exists to prevent.</t>
        </is>
      </c>
      <c r="E21" s="35" t="inlineStr">
        <is>
          <t>Power BI Desktop</t>
        </is>
      </c>
      <c r="F21" s="16" t="inlineStr">
        <is>
          <t>Open R1, R2 and R3 and confirm the live-connection indicator in the status bar and a read-only Fields pane in each.</t>
        </is>
      </c>
      <c r="G21" s="26" t="inlineStr">
        <is>
          <t>Blocking</t>
        </is>
      </c>
      <c r="H21" s="31" t="inlineStr">
        <is>
          <t>No</t>
        </is>
      </c>
      <c r="I21" s="64" t="inlineStr">
        <is>
          <t>V17_Report_to_Model_Binding</t>
        </is>
      </c>
    </row>
  </sheetData>
  <autoFilter ref="A4:I21"/>
  <mergeCells count="2">
    <mergeCell ref="A1:I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s>
  <pageMargins left="0.75" right="0.75" top="1" bottom="1" header="0.5" footer="0.5"/>
  <pageSetup orientation="landscape" fitToHeight="0"/>
</worksheet>
</file>

<file path=xl/worksheets/sheet6.xml><?xml version="1.0" encoding="utf-8"?>
<worksheet xmlns="http://schemas.openxmlformats.org/spreadsheetml/2006/main">
  <sheetPr>
    <outlinePr summaryBelow="1" summaryRight="1"/>
    <pageSetUpPr fitToPage="1"/>
  </sheetPr>
  <dimension ref="A1:J200"/>
  <sheetViews>
    <sheetView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1" customWidth="1" style="42" min="1" max="1"/>
    <col width="10" customWidth="1" style="42" min="2" max="2"/>
    <col width="9" customWidth="1" style="42" min="3" max="3"/>
    <col width="40" customWidth="1" style="42" min="4" max="5"/>
    <col width="44" customWidth="1" style="42" min="6" max="6"/>
    <col width="13" customWidth="1" style="42" min="7" max="8"/>
    <col width="15" customWidth="1" style="42" min="9" max="9"/>
    <col width="26" customWidth="1" style="42" min="10" max="10"/>
  </cols>
  <sheetData>
    <row r="1" ht="24" customHeight="1" s="42">
      <c r="A1" s="62" t="inlineStr">
        <is>
          <t>Failure Log — every Fail, its cause, its fix and its re-verification</t>
        </is>
      </c>
    </row>
    <row r="2" ht="30" customHeight="1" s="42">
      <c r="A2" s="63" t="inlineStr">
        <is>
          <t>One row for each check recorded as Fail on the Check Results tab. Status is a formula: a failure is Closed only once it has been re-verified in a later run. An open blocking failure is a reason not to publish.</t>
        </is>
      </c>
    </row>
    <row r="3"/>
    <row r="4" ht="34" customHeight="1" s="42">
      <c r="A4" s="8" t="inlineStr">
        <is>
          <t>Failure ID</t>
        </is>
      </c>
      <c r="B4" s="8" t="inlineStr">
        <is>
          <t>Run ID</t>
        </is>
      </c>
      <c r="C4" s="8" t="inlineStr">
        <is>
          <t>Check #</t>
        </is>
      </c>
      <c r="D4" s="8" t="inlineStr">
        <is>
          <t>What was observed</t>
        </is>
      </c>
      <c r="E4" s="8" t="inlineStr">
        <is>
          <t>Root cause</t>
        </is>
      </c>
      <c r="F4" s="8" t="inlineStr">
        <is>
          <t>Fix applied</t>
        </is>
      </c>
      <c r="G4" s="8" t="inlineStr">
        <is>
          <t>Fixed by</t>
        </is>
      </c>
      <c r="H4" s="8" t="inlineStr">
        <is>
          <t>Date fixed</t>
        </is>
      </c>
      <c r="I4" s="8" t="inlineStr">
        <is>
          <t>Re-verified in run</t>
        </is>
      </c>
      <c r="J4" s="8" t="inlineStr">
        <is>
          <t>Status</t>
        </is>
      </c>
    </row>
    <row r="5" ht="20" customHeight="1" s="42">
      <c r="A5" s="11" t="n"/>
      <c r="B5" s="39" t="n"/>
      <c r="C5" s="39" t="n"/>
      <c r="D5" s="11" t="n"/>
      <c r="E5" s="11" t="n"/>
      <c r="F5" s="11" t="n"/>
      <c r="G5" s="39" t="n"/>
      <c r="H5" s="10" t="n"/>
      <c r="I5" s="39" t="n"/>
      <c r="J5" s="15">
        <f>IF($A5="","",IF($I5&lt;&gt;"","Closed — re-verified",IF($F5&lt;&gt;"","Fix applied — not re-verified","Open")))</f>
        <v/>
      </c>
    </row>
    <row r="6" ht="20" customHeight="1" s="42">
      <c r="A6" s="19" t="n"/>
      <c r="B6" s="40" t="n"/>
      <c r="C6" s="40" t="n"/>
      <c r="D6" s="19" t="n"/>
      <c r="E6" s="19" t="n"/>
      <c r="F6" s="19" t="n"/>
      <c r="G6" s="40" t="n"/>
      <c r="H6" s="18" t="n"/>
      <c r="I6" s="40" t="n"/>
      <c r="J6" s="23">
        <f>IF($A6="","",IF($I6&lt;&gt;"","Closed — re-verified",IF($F6&lt;&gt;"","Fix applied — not re-verified","Open")))</f>
        <v/>
      </c>
    </row>
    <row r="7" ht="20" customHeight="1" s="42">
      <c r="A7" s="11" t="n"/>
      <c r="B7" s="39" t="n"/>
      <c r="C7" s="39" t="n"/>
      <c r="D7" s="11" t="n"/>
      <c r="E7" s="11" t="n"/>
      <c r="F7" s="11" t="n"/>
      <c r="G7" s="39" t="n"/>
      <c r="H7" s="10" t="n"/>
      <c r="I7" s="39" t="n"/>
      <c r="J7" s="15">
        <f>IF($A7="","",IF($I7&lt;&gt;"","Closed — re-verified",IF($F7&lt;&gt;"","Fix applied — not re-verified","Open")))</f>
        <v/>
      </c>
    </row>
    <row r="8" ht="20" customHeight="1" s="42">
      <c r="A8" s="19" t="n"/>
      <c r="B8" s="40" t="n"/>
      <c r="C8" s="40" t="n"/>
      <c r="D8" s="19" t="n"/>
      <c r="E8" s="19" t="n"/>
      <c r="F8" s="19" t="n"/>
      <c r="G8" s="40" t="n"/>
      <c r="H8" s="18" t="n"/>
      <c r="I8" s="40" t="n"/>
      <c r="J8" s="23">
        <f>IF($A8="","",IF($I8&lt;&gt;"","Closed — re-verified",IF($F8&lt;&gt;"","Fix applied — not re-verified","Open")))</f>
        <v/>
      </c>
    </row>
    <row r="9" ht="20" customHeight="1" s="42">
      <c r="A9" s="11" t="n"/>
      <c r="B9" s="39" t="n"/>
      <c r="C9" s="39" t="n"/>
      <c r="D9" s="11" t="n"/>
      <c r="E9" s="11" t="n"/>
      <c r="F9" s="11" t="n"/>
      <c r="G9" s="39" t="n"/>
      <c r="H9" s="10" t="n"/>
      <c r="I9" s="39" t="n"/>
      <c r="J9" s="15">
        <f>IF($A9="","",IF($I9&lt;&gt;"","Closed — re-verified",IF($F9&lt;&gt;"","Fix applied — not re-verified","Open")))</f>
        <v/>
      </c>
    </row>
    <row r="10" ht="20" customHeight="1" s="42">
      <c r="A10" s="19" t="n"/>
      <c r="B10" s="40" t="n"/>
      <c r="C10" s="40" t="n"/>
      <c r="D10" s="19" t="n"/>
      <c r="E10" s="19" t="n"/>
      <c r="F10" s="19" t="n"/>
      <c r="G10" s="40" t="n"/>
      <c r="H10" s="18" t="n"/>
      <c r="I10" s="40" t="n"/>
      <c r="J10" s="23">
        <f>IF($A10="","",IF($I10&lt;&gt;"","Closed — re-verified",IF($F10&lt;&gt;"","Fix applied — not re-verified","Open")))</f>
        <v/>
      </c>
    </row>
    <row r="11" ht="20" customHeight="1" s="42">
      <c r="A11" s="11" t="n"/>
      <c r="B11" s="39" t="n"/>
      <c r="C11" s="39" t="n"/>
      <c r="D11" s="11" t="n"/>
      <c r="E11" s="11" t="n"/>
      <c r="F11" s="11" t="n"/>
      <c r="G11" s="39" t="n"/>
      <c r="H11" s="10" t="n"/>
      <c r="I11" s="39" t="n"/>
      <c r="J11" s="15">
        <f>IF($A11="","",IF($I11&lt;&gt;"","Closed — re-verified",IF($F11&lt;&gt;"","Fix applied — not re-verified","Open")))</f>
        <v/>
      </c>
    </row>
    <row r="12" ht="20" customHeight="1" s="42">
      <c r="A12" s="19" t="n"/>
      <c r="B12" s="40" t="n"/>
      <c r="C12" s="40" t="n"/>
      <c r="D12" s="19" t="n"/>
      <c r="E12" s="19" t="n"/>
      <c r="F12" s="19" t="n"/>
      <c r="G12" s="40" t="n"/>
      <c r="H12" s="18" t="n"/>
      <c r="I12" s="40" t="n"/>
      <c r="J12" s="23">
        <f>IF($A12="","",IF($I12&lt;&gt;"","Closed — re-verified",IF($F12&lt;&gt;"","Fix applied — not re-verified","Open")))</f>
        <v/>
      </c>
    </row>
    <row r="13" ht="20" customHeight="1" s="42">
      <c r="A13" s="11" t="n"/>
      <c r="B13" s="39" t="n"/>
      <c r="C13" s="39" t="n"/>
      <c r="D13" s="11" t="n"/>
      <c r="E13" s="11" t="n"/>
      <c r="F13" s="11" t="n"/>
      <c r="G13" s="39" t="n"/>
      <c r="H13" s="10" t="n"/>
      <c r="I13" s="39" t="n"/>
      <c r="J13" s="15">
        <f>IF($A13="","",IF($I13&lt;&gt;"","Closed — re-verified",IF($F13&lt;&gt;"","Fix applied — not re-verified","Open")))</f>
        <v/>
      </c>
    </row>
    <row r="14" ht="20" customHeight="1" s="42">
      <c r="A14" s="19" t="n"/>
      <c r="B14" s="40" t="n"/>
      <c r="C14" s="40" t="n"/>
      <c r="D14" s="19" t="n"/>
      <c r="E14" s="19" t="n"/>
      <c r="F14" s="19" t="n"/>
      <c r="G14" s="40" t="n"/>
      <c r="H14" s="18" t="n"/>
      <c r="I14" s="40" t="n"/>
      <c r="J14" s="23">
        <f>IF($A14="","",IF($I14&lt;&gt;"","Closed — re-verified",IF($F14&lt;&gt;"","Fix applied — not re-verified","Open")))</f>
        <v/>
      </c>
    </row>
    <row r="15" ht="20" customHeight="1" s="42">
      <c r="A15" s="11" t="n"/>
      <c r="B15" s="39" t="n"/>
      <c r="C15" s="39" t="n"/>
      <c r="D15" s="11" t="n"/>
      <c r="E15" s="11" t="n"/>
      <c r="F15" s="11" t="n"/>
      <c r="G15" s="39" t="n"/>
      <c r="H15" s="10" t="n"/>
      <c r="I15" s="39" t="n"/>
      <c r="J15" s="15">
        <f>IF($A15="","",IF($I15&lt;&gt;"","Closed — re-verified",IF($F15&lt;&gt;"","Fix applied — not re-verified","Open")))</f>
        <v/>
      </c>
    </row>
    <row r="16" ht="20" customHeight="1" s="42">
      <c r="A16" s="19" t="n"/>
      <c r="B16" s="40" t="n"/>
      <c r="C16" s="40" t="n"/>
      <c r="D16" s="19" t="n"/>
      <c r="E16" s="19" t="n"/>
      <c r="F16" s="19" t="n"/>
      <c r="G16" s="40" t="n"/>
      <c r="H16" s="18" t="n"/>
      <c r="I16" s="40" t="n"/>
      <c r="J16" s="23">
        <f>IF($A16="","",IF($I16&lt;&gt;"","Closed — re-verified",IF($F16&lt;&gt;"","Fix applied — not re-verified","Open")))</f>
        <v/>
      </c>
    </row>
    <row r="17" ht="20" customHeight="1" s="42">
      <c r="A17" s="11" t="n"/>
      <c r="B17" s="39" t="n"/>
      <c r="C17" s="39" t="n"/>
      <c r="D17" s="11" t="n"/>
      <c r="E17" s="11" t="n"/>
      <c r="F17" s="11" t="n"/>
      <c r="G17" s="39" t="n"/>
      <c r="H17" s="10" t="n"/>
      <c r="I17" s="39" t="n"/>
      <c r="J17" s="15">
        <f>IF($A17="","",IF($I17&lt;&gt;"","Closed — re-verified",IF($F17&lt;&gt;"","Fix applied — not re-verified","Open")))</f>
        <v/>
      </c>
    </row>
    <row r="18" ht="20" customHeight="1" s="42">
      <c r="A18" s="19" t="n"/>
      <c r="B18" s="40" t="n"/>
      <c r="C18" s="40" t="n"/>
      <c r="D18" s="19" t="n"/>
      <c r="E18" s="19" t="n"/>
      <c r="F18" s="19" t="n"/>
      <c r="G18" s="40" t="n"/>
      <c r="H18" s="18" t="n"/>
      <c r="I18" s="40" t="n"/>
      <c r="J18" s="23">
        <f>IF($A18="","",IF($I18&lt;&gt;"","Closed — re-verified",IF($F18&lt;&gt;"","Fix applied — not re-verified","Open")))</f>
        <v/>
      </c>
    </row>
    <row r="19" ht="20" customHeight="1" s="42">
      <c r="A19" s="11" t="n"/>
      <c r="B19" s="39" t="n"/>
      <c r="C19" s="39" t="n"/>
      <c r="D19" s="11" t="n"/>
      <c r="E19" s="11" t="n"/>
      <c r="F19" s="11" t="n"/>
      <c r="G19" s="39" t="n"/>
      <c r="H19" s="10" t="n"/>
      <c r="I19" s="39" t="n"/>
      <c r="J19" s="15">
        <f>IF($A19="","",IF($I19&lt;&gt;"","Closed — re-verified",IF($F19&lt;&gt;"","Fix applied — not re-verified","Open")))</f>
        <v/>
      </c>
    </row>
    <row r="20" ht="20" customHeight="1" s="42">
      <c r="A20" s="19" t="n"/>
      <c r="B20" s="40" t="n"/>
      <c r="C20" s="40" t="n"/>
      <c r="D20" s="19" t="n"/>
      <c r="E20" s="19" t="n"/>
      <c r="F20" s="19" t="n"/>
      <c r="G20" s="40" t="n"/>
      <c r="H20" s="18" t="n"/>
      <c r="I20" s="40" t="n"/>
      <c r="J20" s="23">
        <f>IF($A20="","",IF($I20&lt;&gt;"","Closed — re-verified",IF($F20&lt;&gt;"","Fix applied — not re-verified","Open")))</f>
        <v/>
      </c>
    </row>
    <row r="21" ht="20" customHeight="1" s="42">
      <c r="A21" s="11" t="n"/>
      <c r="B21" s="39" t="n"/>
      <c r="C21" s="39" t="n"/>
      <c r="D21" s="11" t="n"/>
      <c r="E21" s="11" t="n"/>
      <c r="F21" s="11" t="n"/>
      <c r="G21" s="39" t="n"/>
      <c r="H21" s="10" t="n"/>
      <c r="I21" s="39" t="n"/>
      <c r="J21" s="15">
        <f>IF($A21="","",IF($I21&lt;&gt;"","Closed — re-verified",IF($F21&lt;&gt;"","Fix applied — not re-verified","Open")))</f>
        <v/>
      </c>
    </row>
    <row r="22" ht="20" customHeight="1" s="42">
      <c r="A22" s="19" t="n"/>
      <c r="B22" s="40" t="n"/>
      <c r="C22" s="40" t="n"/>
      <c r="D22" s="19" t="n"/>
      <c r="E22" s="19" t="n"/>
      <c r="F22" s="19" t="n"/>
      <c r="G22" s="40" t="n"/>
      <c r="H22" s="18" t="n"/>
      <c r="I22" s="40" t="n"/>
      <c r="J22" s="23">
        <f>IF($A22="","",IF($I22&lt;&gt;"","Closed — re-verified",IF($F22&lt;&gt;"","Fix applied — not re-verified","Open")))</f>
        <v/>
      </c>
    </row>
    <row r="23" ht="20" customHeight="1" s="42">
      <c r="A23" s="11" t="n"/>
      <c r="B23" s="39" t="n"/>
      <c r="C23" s="39" t="n"/>
      <c r="D23" s="11" t="n"/>
      <c r="E23" s="11" t="n"/>
      <c r="F23" s="11" t="n"/>
      <c r="G23" s="39" t="n"/>
      <c r="H23" s="10" t="n"/>
      <c r="I23" s="39" t="n"/>
      <c r="J23" s="15">
        <f>IF($A23="","",IF($I23&lt;&gt;"","Closed — re-verified",IF($F23&lt;&gt;"","Fix applied — not re-verified","Open")))</f>
        <v/>
      </c>
    </row>
    <row r="24" ht="20" customHeight="1" s="42">
      <c r="A24" s="19" t="n"/>
      <c r="B24" s="40" t="n"/>
      <c r="C24" s="40" t="n"/>
      <c r="D24" s="19" t="n"/>
      <c r="E24" s="19" t="n"/>
      <c r="F24" s="19" t="n"/>
      <c r="G24" s="40" t="n"/>
      <c r="H24" s="18" t="n"/>
      <c r="I24" s="40" t="n"/>
      <c r="J24" s="23">
        <f>IF($A24="","",IF($I24&lt;&gt;"","Closed — re-verified",IF($F24&lt;&gt;"","Fix applied — not re-verified","Open")))</f>
        <v/>
      </c>
    </row>
    <row r="25" ht="20" customHeight="1" s="42">
      <c r="A25" s="11" t="n"/>
      <c r="B25" s="39" t="n"/>
      <c r="C25" s="39" t="n"/>
      <c r="D25" s="11" t="n"/>
      <c r="E25" s="11" t="n"/>
      <c r="F25" s="11" t="n"/>
      <c r="G25" s="39" t="n"/>
      <c r="H25" s="10" t="n"/>
      <c r="I25" s="39" t="n"/>
      <c r="J25" s="15">
        <f>IF($A25="","",IF($I25&lt;&gt;"","Closed — re-verified",IF($F25&lt;&gt;"","Fix applied — not re-verified","Open")))</f>
        <v/>
      </c>
    </row>
    <row r="26" ht="20" customHeight="1" s="42">
      <c r="A26" s="19" t="n"/>
      <c r="B26" s="40" t="n"/>
      <c r="C26" s="40" t="n"/>
      <c r="D26" s="19" t="n"/>
      <c r="E26" s="19" t="n"/>
      <c r="F26" s="19" t="n"/>
      <c r="G26" s="40" t="n"/>
      <c r="H26" s="18" t="n"/>
      <c r="I26" s="40" t="n"/>
      <c r="J26" s="23">
        <f>IF($A26="","",IF($I26&lt;&gt;"","Closed — re-verified",IF($F26&lt;&gt;"","Fix applied — not re-verified","Open")))</f>
        <v/>
      </c>
    </row>
    <row r="27" ht="20" customHeight="1" s="42">
      <c r="A27" s="11" t="n"/>
      <c r="B27" s="39" t="n"/>
      <c r="C27" s="39" t="n"/>
      <c r="D27" s="11" t="n"/>
      <c r="E27" s="11" t="n"/>
      <c r="F27" s="11" t="n"/>
      <c r="G27" s="39" t="n"/>
      <c r="H27" s="10" t="n"/>
      <c r="I27" s="39" t="n"/>
      <c r="J27" s="15">
        <f>IF($A27="","",IF($I27&lt;&gt;"","Closed — re-verified",IF($F27&lt;&gt;"","Fix applied — not re-verified","Open")))</f>
        <v/>
      </c>
    </row>
    <row r="28" ht="20" customHeight="1" s="42">
      <c r="A28" s="19" t="n"/>
      <c r="B28" s="40" t="n"/>
      <c r="C28" s="40" t="n"/>
      <c r="D28" s="19" t="n"/>
      <c r="E28" s="19" t="n"/>
      <c r="F28" s="19" t="n"/>
      <c r="G28" s="40" t="n"/>
      <c r="H28" s="18" t="n"/>
      <c r="I28" s="40" t="n"/>
      <c r="J28" s="23">
        <f>IF($A28="","",IF($I28&lt;&gt;"","Closed — re-verified",IF($F28&lt;&gt;"","Fix applied — not re-verified","Open")))</f>
        <v/>
      </c>
    </row>
    <row r="29" ht="20" customHeight="1" s="42">
      <c r="A29" s="11" t="n"/>
      <c r="B29" s="39" t="n"/>
      <c r="C29" s="39" t="n"/>
      <c r="D29" s="11" t="n"/>
      <c r="E29" s="11" t="n"/>
      <c r="F29" s="11" t="n"/>
      <c r="G29" s="39" t="n"/>
      <c r="H29" s="10" t="n"/>
      <c r="I29" s="39" t="n"/>
      <c r="J29" s="15">
        <f>IF($A29="","",IF($I29&lt;&gt;"","Closed — re-verified",IF($F29&lt;&gt;"","Fix applied — not re-verified","Open")))</f>
        <v/>
      </c>
    </row>
    <row r="30" ht="20" customHeight="1" s="42">
      <c r="A30" s="19" t="n"/>
      <c r="B30" s="40" t="n"/>
      <c r="C30" s="40" t="n"/>
      <c r="D30" s="19" t="n"/>
      <c r="E30" s="19" t="n"/>
      <c r="F30" s="19" t="n"/>
      <c r="G30" s="40" t="n"/>
      <c r="H30" s="18" t="n"/>
      <c r="I30" s="40" t="n"/>
      <c r="J30" s="23">
        <f>IF($A30="","",IF($I30&lt;&gt;"","Closed — re-verified",IF($F30&lt;&gt;"","Fix applied — not re-verified","Open")))</f>
        <v/>
      </c>
    </row>
    <row r="31" ht="20" customHeight="1" s="42">
      <c r="A31" s="11" t="n"/>
      <c r="B31" s="39" t="n"/>
      <c r="C31" s="39" t="n"/>
      <c r="D31" s="11" t="n"/>
      <c r="E31" s="11" t="n"/>
      <c r="F31" s="11" t="n"/>
      <c r="G31" s="39" t="n"/>
      <c r="H31" s="10" t="n"/>
      <c r="I31" s="39" t="n"/>
      <c r="J31" s="15">
        <f>IF($A31="","",IF($I31&lt;&gt;"","Closed — re-verified",IF($F31&lt;&gt;"","Fix applied — not re-verified","Open")))</f>
        <v/>
      </c>
    </row>
    <row r="32" ht="20" customHeight="1" s="42">
      <c r="A32" s="19" t="n"/>
      <c r="B32" s="40" t="n"/>
      <c r="C32" s="40" t="n"/>
      <c r="D32" s="19" t="n"/>
      <c r="E32" s="19" t="n"/>
      <c r="F32" s="19" t="n"/>
      <c r="G32" s="40" t="n"/>
      <c r="H32" s="18" t="n"/>
      <c r="I32" s="40" t="n"/>
      <c r="J32" s="23">
        <f>IF($A32="","",IF($I32&lt;&gt;"","Closed — re-verified",IF($F32&lt;&gt;"","Fix applied — not re-verified","Open")))</f>
        <v/>
      </c>
    </row>
    <row r="33" ht="20" customHeight="1" s="42">
      <c r="A33" s="11" t="n"/>
      <c r="B33" s="39" t="n"/>
      <c r="C33" s="39" t="n"/>
      <c r="D33" s="11" t="n"/>
      <c r="E33" s="11" t="n"/>
      <c r="F33" s="11" t="n"/>
      <c r="G33" s="39" t="n"/>
      <c r="H33" s="10" t="n"/>
      <c r="I33" s="39" t="n"/>
      <c r="J33" s="15">
        <f>IF($A33="","",IF($I33&lt;&gt;"","Closed — re-verified",IF($F33&lt;&gt;"","Fix applied — not re-verified","Open")))</f>
        <v/>
      </c>
    </row>
    <row r="34" ht="20" customHeight="1" s="42">
      <c r="A34" s="19" t="n"/>
      <c r="B34" s="40" t="n"/>
      <c r="C34" s="40" t="n"/>
      <c r="D34" s="19" t="n"/>
      <c r="E34" s="19" t="n"/>
      <c r="F34" s="19" t="n"/>
      <c r="G34" s="40" t="n"/>
      <c r="H34" s="18" t="n"/>
      <c r="I34" s="40" t="n"/>
      <c r="J34" s="23">
        <f>IF($A34="","",IF($I34&lt;&gt;"","Closed — re-verified",IF($F34&lt;&gt;"","Fix applied — not re-verified","Open")))</f>
        <v/>
      </c>
    </row>
    <row r="35" ht="20" customHeight="1" s="42">
      <c r="A35" s="11" t="n"/>
      <c r="B35" s="39" t="n"/>
      <c r="C35" s="39" t="n"/>
      <c r="D35" s="11" t="n"/>
      <c r="E35" s="11" t="n"/>
      <c r="F35" s="11" t="n"/>
      <c r="G35" s="39" t="n"/>
      <c r="H35" s="10" t="n"/>
      <c r="I35" s="39" t="n"/>
      <c r="J35" s="15">
        <f>IF($A35="","",IF($I35&lt;&gt;"","Closed — re-verified",IF($F35&lt;&gt;"","Fix applied — not re-verified","Open")))</f>
        <v/>
      </c>
    </row>
    <row r="36" ht="20" customHeight="1" s="42">
      <c r="A36" s="19" t="n"/>
      <c r="B36" s="40" t="n"/>
      <c r="C36" s="40" t="n"/>
      <c r="D36" s="19" t="n"/>
      <c r="E36" s="19" t="n"/>
      <c r="F36" s="19" t="n"/>
      <c r="G36" s="40" t="n"/>
      <c r="H36" s="18" t="n"/>
      <c r="I36" s="40" t="n"/>
      <c r="J36" s="23">
        <f>IF($A36="","",IF($I36&lt;&gt;"","Closed — re-verified",IF($F36&lt;&gt;"","Fix applied — not re-verified","Open")))</f>
        <v/>
      </c>
    </row>
    <row r="37" ht="20" customHeight="1" s="42">
      <c r="A37" s="11" t="n"/>
      <c r="B37" s="39" t="n"/>
      <c r="C37" s="39" t="n"/>
      <c r="D37" s="11" t="n"/>
      <c r="E37" s="11" t="n"/>
      <c r="F37" s="11" t="n"/>
      <c r="G37" s="39" t="n"/>
      <c r="H37" s="10" t="n"/>
      <c r="I37" s="39" t="n"/>
      <c r="J37" s="15">
        <f>IF($A37="","",IF($I37&lt;&gt;"","Closed — re-verified",IF($F37&lt;&gt;"","Fix applied — not re-verified","Open")))</f>
        <v/>
      </c>
    </row>
    <row r="38" ht="20" customHeight="1" s="42">
      <c r="A38" s="19" t="n"/>
      <c r="B38" s="40" t="n"/>
      <c r="C38" s="40" t="n"/>
      <c r="D38" s="19" t="n"/>
      <c r="E38" s="19" t="n"/>
      <c r="F38" s="19" t="n"/>
      <c r="G38" s="40" t="n"/>
      <c r="H38" s="18" t="n"/>
      <c r="I38" s="40" t="n"/>
      <c r="J38" s="23">
        <f>IF($A38="","",IF($I38&lt;&gt;"","Closed — re-verified",IF($F38&lt;&gt;"","Fix applied — not re-verified","Open")))</f>
        <v/>
      </c>
    </row>
    <row r="39" ht="20" customHeight="1" s="42">
      <c r="A39" s="11" t="n"/>
      <c r="B39" s="39" t="n"/>
      <c r="C39" s="39" t="n"/>
      <c r="D39" s="11" t="n"/>
      <c r="E39" s="11" t="n"/>
      <c r="F39" s="11" t="n"/>
      <c r="G39" s="39" t="n"/>
      <c r="H39" s="10" t="n"/>
      <c r="I39" s="39" t="n"/>
      <c r="J39" s="15">
        <f>IF($A39="","",IF($I39&lt;&gt;"","Closed — re-verified",IF($F39&lt;&gt;"","Fix applied — not re-verified","Open")))</f>
        <v/>
      </c>
    </row>
    <row r="40" ht="20" customHeight="1" s="42">
      <c r="A40" s="19" t="n"/>
      <c r="B40" s="40" t="n"/>
      <c r="C40" s="40" t="n"/>
      <c r="D40" s="19" t="n"/>
      <c r="E40" s="19" t="n"/>
      <c r="F40" s="19" t="n"/>
      <c r="G40" s="40" t="n"/>
      <c r="H40" s="18" t="n"/>
      <c r="I40" s="40" t="n"/>
      <c r="J40" s="23">
        <f>IF($A40="","",IF($I40&lt;&gt;"","Closed — re-verified",IF($F40&lt;&gt;"","Fix applied — not re-verified","Open")))</f>
        <v/>
      </c>
    </row>
    <row r="41" ht="20" customHeight="1" s="42">
      <c r="A41" s="11" t="n"/>
      <c r="B41" s="39" t="n"/>
      <c r="C41" s="39" t="n"/>
      <c r="D41" s="11" t="n"/>
      <c r="E41" s="11" t="n"/>
      <c r="F41" s="11" t="n"/>
      <c r="G41" s="39" t="n"/>
      <c r="H41" s="10" t="n"/>
      <c r="I41" s="39" t="n"/>
      <c r="J41" s="15">
        <f>IF($A41="","",IF($I41&lt;&gt;"","Closed — re-verified",IF($F41&lt;&gt;"","Fix applied — not re-verified","Open")))</f>
        <v/>
      </c>
    </row>
    <row r="42" ht="20" customHeight="1" s="42">
      <c r="A42" s="19" t="n"/>
      <c r="B42" s="40" t="n"/>
      <c r="C42" s="40" t="n"/>
      <c r="D42" s="19" t="n"/>
      <c r="E42" s="19" t="n"/>
      <c r="F42" s="19" t="n"/>
      <c r="G42" s="40" t="n"/>
      <c r="H42" s="18" t="n"/>
      <c r="I42" s="40" t="n"/>
      <c r="J42" s="23">
        <f>IF($A42="","",IF($I42&lt;&gt;"","Closed — re-verified",IF($F42&lt;&gt;"","Fix applied — not re-verified","Open")))</f>
        <v/>
      </c>
    </row>
    <row r="43" ht="20" customHeight="1" s="42">
      <c r="A43" s="11" t="n"/>
      <c r="B43" s="39" t="n"/>
      <c r="C43" s="39" t="n"/>
      <c r="D43" s="11" t="n"/>
      <c r="E43" s="11" t="n"/>
      <c r="F43" s="11" t="n"/>
      <c r="G43" s="39" t="n"/>
      <c r="H43" s="10" t="n"/>
      <c r="I43" s="39" t="n"/>
      <c r="J43" s="15">
        <f>IF($A43="","",IF($I43&lt;&gt;"","Closed — re-verified",IF($F43&lt;&gt;"","Fix applied — not re-verified","Open")))</f>
        <v/>
      </c>
    </row>
    <row r="44" ht="20" customHeight="1" s="42">
      <c r="A44" s="19" t="n"/>
      <c r="B44" s="40" t="n"/>
      <c r="C44" s="40" t="n"/>
      <c r="D44" s="19" t="n"/>
      <c r="E44" s="19" t="n"/>
      <c r="F44" s="19" t="n"/>
      <c r="G44" s="40" t="n"/>
      <c r="H44" s="18" t="n"/>
      <c r="I44" s="40" t="n"/>
      <c r="J44" s="23">
        <f>IF($A44="","",IF($I44&lt;&gt;"","Closed — re-verified",IF($F44&lt;&gt;"","Fix applied — not re-verified","Open")))</f>
        <v/>
      </c>
    </row>
    <row r="45" ht="20" customHeight="1" s="42">
      <c r="A45" s="11" t="n"/>
      <c r="B45" s="39" t="n"/>
      <c r="C45" s="39" t="n"/>
      <c r="D45" s="11" t="n"/>
      <c r="E45" s="11" t="n"/>
      <c r="F45" s="11" t="n"/>
      <c r="G45" s="39" t="n"/>
      <c r="H45" s="10" t="n"/>
      <c r="I45" s="39" t="n"/>
      <c r="J45" s="15">
        <f>IF($A45="","",IF($I45&lt;&gt;"","Closed — re-verified",IF($F45&lt;&gt;"","Fix applied — not re-verified","Open")))</f>
        <v/>
      </c>
    </row>
    <row r="46" ht="20" customHeight="1" s="42">
      <c r="A46" s="19" t="n"/>
      <c r="B46" s="40" t="n"/>
      <c r="C46" s="40" t="n"/>
      <c r="D46" s="19" t="n"/>
      <c r="E46" s="19" t="n"/>
      <c r="F46" s="19" t="n"/>
      <c r="G46" s="40" t="n"/>
      <c r="H46" s="18" t="n"/>
      <c r="I46" s="40" t="n"/>
      <c r="J46" s="23">
        <f>IF($A46="","",IF($I46&lt;&gt;"","Closed — re-verified",IF($F46&lt;&gt;"","Fix applied — not re-verified","Open")))</f>
        <v/>
      </c>
    </row>
    <row r="47" ht="20" customHeight="1" s="42">
      <c r="A47" s="11" t="n"/>
      <c r="B47" s="39" t="n"/>
      <c r="C47" s="39" t="n"/>
      <c r="D47" s="11" t="n"/>
      <c r="E47" s="11" t="n"/>
      <c r="F47" s="11" t="n"/>
      <c r="G47" s="39" t="n"/>
      <c r="H47" s="10" t="n"/>
      <c r="I47" s="39" t="n"/>
      <c r="J47" s="15">
        <f>IF($A47="","",IF($I47&lt;&gt;"","Closed — re-verified",IF($F47&lt;&gt;"","Fix applied — not re-verified","Open")))</f>
        <v/>
      </c>
    </row>
    <row r="48" ht="20" customHeight="1" s="42">
      <c r="A48" s="19" t="n"/>
      <c r="B48" s="40" t="n"/>
      <c r="C48" s="40" t="n"/>
      <c r="D48" s="19" t="n"/>
      <c r="E48" s="19" t="n"/>
      <c r="F48" s="19" t="n"/>
      <c r="G48" s="40" t="n"/>
      <c r="H48" s="18" t="n"/>
      <c r="I48" s="40" t="n"/>
      <c r="J48" s="23">
        <f>IF($A48="","",IF($I48&lt;&gt;"","Closed — re-verified",IF($F48&lt;&gt;"","Fix applied — not re-verified","Open")))</f>
        <v/>
      </c>
    </row>
    <row r="49" ht="20" customHeight="1" s="42">
      <c r="A49" s="11" t="n"/>
      <c r="B49" s="39" t="n"/>
      <c r="C49" s="39" t="n"/>
      <c r="D49" s="11" t="n"/>
      <c r="E49" s="11" t="n"/>
      <c r="F49" s="11" t="n"/>
      <c r="G49" s="39" t="n"/>
      <c r="H49" s="10" t="n"/>
      <c r="I49" s="39" t="n"/>
      <c r="J49" s="15">
        <f>IF($A49="","",IF($I49&lt;&gt;"","Closed — re-verified",IF($F49&lt;&gt;"","Fix applied — not re-verified","Open")))</f>
        <v/>
      </c>
    </row>
    <row r="50" ht="20" customHeight="1" s="42">
      <c r="A50" s="19" t="n"/>
      <c r="B50" s="40" t="n"/>
      <c r="C50" s="40" t="n"/>
      <c r="D50" s="19" t="n"/>
      <c r="E50" s="19" t="n"/>
      <c r="F50" s="19" t="n"/>
      <c r="G50" s="40" t="n"/>
      <c r="H50" s="18" t="n"/>
      <c r="I50" s="40" t="n"/>
      <c r="J50" s="23">
        <f>IF($A50="","",IF($I50&lt;&gt;"","Closed — re-verified",IF($F50&lt;&gt;"","Fix applied — not re-verified","Open")))</f>
        <v/>
      </c>
    </row>
    <row r="51" ht="20" customHeight="1" s="42">
      <c r="A51" s="11" t="n"/>
      <c r="B51" s="39" t="n"/>
      <c r="C51" s="39" t="n"/>
      <c r="D51" s="11" t="n"/>
      <c r="E51" s="11" t="n"/>
      <c r="F51" s="11" t="n"/>
      <c r="G51" s="39" t="n"/>
      <c r="H51" s="10" t="n"/>
      <c r="I51" s="39" t="n"/>
      <c r="J51" s="15">
        <f>IF($A51="","",IF($I51&lt;&gt;"","Closed — re-verified",IF($F51&lt;&gt;"","Fix applied — not re-verified","Open")))</f>
        <v/>
      </c>
    </row>
    <row r="52" ht="20" customHeight="1" s="42">
      <c r="A52" s="19" t="n"/>
      <c r="B52" s="40" t="n"/>
      <c r="C52" s="40" t="n"/>
      <c r="D52" s="19" t="n"/>
      <c r="E52" s="19" t="n"/>
      <c r="F52" s="19" t="n"/>
      <c r="G52" s="40" t="n"/>
      <c r="H52" s="18" t="n"/>
      <c r="I52" s="40" t="n"/>
      <c r="J52" s="23">
        <f>IF($A52="","",IF($I52&lt;&gt;"","Closed — re-verified",IF($F52&lt;&gt;"","Fix applied — not re-verified","Open")))</f>
        <v/>
      </c>
    </row>
    <row r="53" ht="20" customHeight="1" s="42">
      <c r="A53" s="11" t="n"/>
      <c r="B53" s="39" t="n"/>
      <c r="C53" s="39" t="n"/>
      <c r="D53" s="11" t="n"/>
      <c r="E53" s="11" t="n"/>
      <c r="F53" s="11" t="n"/>
      <c r="G53" s="39" t="n"/>
      <c r="H53" s="10" t="n"/>
      <c r="I53" s="39" t="n"/>
      <c r="J53" s="15">
        <f>IF($A53="","",IF($I53&lt;&gt;"","Closed — re-verified",IF($F53&lt;&gt;"","Fix applied — not re-verified","Open")))</f>
        <v/>
      </c>
    </row>
    <row r="54" ht="20" customHeight="1" s="42">
      <c r="A54" s="19" t="n"/>
      <c r="B54" s="40" t="n"/>
      <c r="C54" s="40" t="n"/>
      <c r="D54" s="19" t="n"/>
      <c r="E54" s="19" t="n"/>
      <c r="F54" s="19" t="n"/>
      <c r="G54" s="40" t="n"/>
      <c r="H54" s="18" t="n"/>
      <c r="I54" s="40" t="n"/>
      <c r="J54" s="23">
        <f>IF($A54="","",IF($I54&lt;&gt;"","Closed — re-verified",IF($F54&lt;&gt;"","Fix applied — not re-verified","Open")))</f>
        <v/>
      </c>
    </row>
    <row r="55" ht="20" customHeight="1" s="42">
      <c r="A55" s="11" t="n"/>
      <c r="B55" s="39" t="n"/>
      <c r="C55" s="39" t="n"/>
      <c r="D55" s="11" t="n"/>
      <c r="E55" s="11" t="n"/>
      <c r="F55" s="11" t="n"/>
      <c r="G55" s="39" t="n"/>
      <c r="H55" s="10" t="n"/>
      <c r="I55" s="39" t="n"/>
      <c r="J55" s="15">
        <f>IF($A55="","",IF($I55&lt;&gt;"","Closed — re-verified",IF($F55&lt;&gt;"","Fix applied — not re-verified","Open")))</f>
        <v/>
      </c>
    </row>
    <row r="56" ht="20" customHeight="1" s="42">
      <c r="A56" s="19" t="n"/>
      <c r="B56" s="40" t="n"/>
      <c r="C56" s="40" t="n"/>
      <c r="D56" s="19" t="n"/>
      <c r="E56" s="19" t="n"/>
      <c r="F56" s="19" t="n"/>
      <c r="G56" s="40" t="n"/>
      <c r="H56" s="18" t="n"/>
      <c r="I56" s="40" t="n"/>
      <c r="J56" s="23">
        <f>IF($A56="","",IF($I56&lt;&gt;"","Closed — re-verified",IF($F56&lt;&gt;"","Fix applied — not re-verified","Open")))</f>
        <v/>
      </c>
    </row>
    <row r="57" ht="20" customHeight="1" s="42">
      <c r="A57" s="11" t="n"/>
      <c r="B57" s="39" t="n"/>
      <c r="C57" s="39" t="n"/>
      <c r="D57" s="11" t="n"/>
      <c r="E57" s="11" t="n"/>
      <c r="F57" s="11" t="n"/>
      <c r="G57" s="39" t="n"/>
      <c r="H57" s="10" t="n"/>
      <c r="I57" s="39" t="n"/>
      <c r="J57" s="15">
        <f>IF($A57="","",IF($I57&lt;&gt;"","Closed — re-verified",IF($F57&lt;&gt;"","Fix applied — not re-verified","Open")))</f>
        <v/>
      </c>
    </row>
    <row r="58" ht="20" customHeight="1" s="42">
      <c r="A58" s="19" t="n"/>
      <c r="B58" s="40" t="n"/>
      <c r="C58" s="40" t="n"/>
      <c r="D58" s="19" t="n"/>
      <c r="E58" s="19" t="n"/>
      <c r="F58" s="19" t="n"/>
      <c r="G58" s="40" t="n"/>
      <c r="H58" s="18" t="n"/>
      <c r="I58" s="40" t="n"/>
      <c r="J58" s="23">
        <f>IF($A58="","",IF($I58&lt;&gt;"","Closed — re-verified",IF($F58&lt;&gt;"","Fix applied — not re-verified","Open")))</f>
        <v/>
      </c>
    </row>
    <row r="59" ht="20" customHeight="1" s="42">
      <c r="A59" s="11" t="n"/>
      <c r="B59" s="39" t="n"/>
      <c r="C59" s="39" t="n"/>
      <c r="D59" s="11" t="n"/>
      <c r="E59" s="11" t="n"/>
      <c r="F59" s="11" t="n"/>
      <c r="G59" s="39" t="n"/>
      <c r="H59" s="10" t="n"/>
      <c r="I59" s="39" t="n"/>
      <c r="J59" s="15">
        <f>IF($A59="","",IF($I59&lt;&gt;"","Closed — re-verified",IF($F59&lt;&gt;"","Fix applied — not re-verified","Open")))</f>
        <v/>
      </c>
    </row>
    <row r="60" ht="20" customHeight="1" s="42">
      <c r="A60" s="19" t="n"/>
      <c r="B60" s="40" t="n"/>
      <c r="C60" s="40" t="n"/>
      <c r="D60" s="19" t="n"/>
      <c r="E60" s="19" t="n"/>
      <c r="F60" s="19" t="n"/>
      <c r="G60" s="40" t="n"/>
      <c r="H60" s="18" t="n"/>
      <c r="I60" s="40" t="n"/>
      <c r="J60" s="23">
        <f>IF($A60="","",IF($I60&lt;&gt;"","Closed — re-verified",IF($F60&lt;&gt;"","Fix applied — not re-verified","Open")))</f>
        <v/>
      </c>
    </row>
    <row r="61" ht="20" customHeight="1" s="42">
      <c r="A61" s="11" t="n"/>
      <c r="B61" s="39" t="n"/>
      <c r="C61" s="39" t="n"/>
      <c r="D61" s="11" t="n"/>
      <c r="E61" s="11" t="n"/>
      <c r="F61" s="11" t="n"/>
      <c r="G61" s="39" t="n"/>
      <c r="H61" s="10" t="n"/>
      <c r="I61" s="39" t="n"/>
      <c r="J61" s="15">
        <f>IF($A61="","",IF($I61&lt;&gt;"","Closed — re-verified",IF($F61&lt;&gt;"","Fix applied — not re-verified","Open")))</f>
        <v/>
      </c>
    </row>
    <row r="62" ht="20" customHeight="1" s="42">
      <c r="A62" s="19" t="n"/>
      <c r="B62" s="40" t="n"/>
      <c r="C62" s="40" t="n"/>
      <c r="D62" s="19" t="n"/>
      <c r="E62" s="19" t="n"/>
      <c r="F62" s="19" t="n"/>
      <c r="G62" s="40" t="n"/>
      <c r="H62" s="18" t="n"/>
      <c r="I62" s="40" t="n"/>
      <c r="J62" s="23">
        <f>IF($A62="","",IF($I62&lt;&gt;"","Closed — re-verified",IF($F62&lt;&gt;"","Fix applied — not re-verified","Open")))</f>
        <v/>
      </c>
    </row>
    <row r="63" ht="20" customHeight="1" s="42">
      <c r="A63" s="11" t="n"/>
      <c r="B63" s="39" t="n"/>
      <c r="C63" s="39" t="n"/>
      <c r="D63" s="11" t="n"/>
      <c r="E63" s="11" t="n"/>
      <c r="F63" s="11" t="n"/>
      <c r="G63" s="39" t="n"/>
      <c r="H63" s="10" t="n"/>
      <c r="I63" s="39" t="n"/>
      <c r="J63" s="15">
        <f>IF($A63="","",IF($I63&lt;&gt;"","Closed — re-verified",IF($F63&lt;&gt;"","Fix applied — not re-verified","Open")))</f>
        <v/>
      </c>
    </row>
    <row r="64" ht="20" customHeight="1" s="42">
      <c r="A64" s="19" t="n"/>
      <c r="B64" s="40" t="n"/>
      <c r="C64" s="40" t="n"/>
      <c r="D64" s="19" t="n"/>
      <c r="E64" s="19" t="n"/>
      <c r="F64" s="19" t="n"/>
      <c r="G64" s="40" t="n"/>
      <c r="H64" s="18" t="n"/>
      <c r="I64" s="40" t="n"/>
      <c r="J64" s="23">
        <f>IF($A64="","",IF($I64&lt;&gt;"","Closed — re-verified",IF($F64&lt;&gt;"","Fix applied — not re-verified","Open")))</f>
        <v/>
      </c>
    </row>
    <row r="65" ht="20" customHeight="1" s="42">
      <c r="A65" s="11" t="n"/>
      <c r="B65" s="39" t="n"/>
      <c r="C65" s="39" t="n"/>
      <c r="D65" s="11" t="n"/>
      <c r="E65" s="11" t="n"/>
      <c r="F65" s="11" t="n"/>
      <c r="G65" s="39" t="n"/>
      <c r="H65" s="10" t="n"/>
      <c r="I65" s="39" t="n"/>
      <c r="J65" s="15">
        <f>IF($A65="","",IF($I65&lt;&gt;"","Closed — re-verified",IF($F65&lt;&gt;"","Fix applied — not re-verified","Open")))</f>
        <v/>
      </c>
    </row>
    <row r="66" ht="20" customHeight="1" s="42">
      <c r="A66" s="19" t="n"/>
      <c r="B66" s="40" t="n"/>
      <c r="C66" s="40" t="n"/>
      <c r="D66" s="19" t="n"/>
      <c r="E66" s="19" t="n"/>
      <c r="F66" s="19" t="n"/>
      <c r="G66" s="40" t="n"/>
      <c r="H66" s="18" t="n"/>
      <c r="I66" s="40" t="n"/>
      <c r="J66" s="23">
        <f>IF($A66="","",IF($I66&lt;&gt;"","Closed — re-verified",IF($F66&lt;&gt;"","Fix applied — not re-verified","Open")))</f>
        <v/>
      </c>
    </row>
    <row r="67" ht="20" customHeight="1" s="42">
      <c r="A67" s="11" t="n"/>
      <c r="B67" s="39" t="n"/>
      <c r="C67" s="39" t="n"/>
      <c r="D67" s="11" t="n"/>
      <c r="E67" s="11" t="n"/>
      <c r="F67" s="11" t="n"/>
      <c r="G67" s="39" t="n"/>
      <c r="H67" s="10" t="n"/>
      <c r="I67" s="39" t="n"/>
      <c r="J67" s="15">
        <f>IF($A67="","",IF($I67&lt;&gt;"","Closed — re-verified",IF($F67&lt;&gt;"","Fix applied — not re-verified","Open")))</f>
        <v/>
      </c>
    </row>
    <row r="68" ht="20" customHeight="1" s="42">
      <c r="A68" s="19" t="n"/>
      <c r="B68" s="40" t="n"/>
      <c r="C68" s="40" t="n"/>
      <c r="D68" s="19" t="n"/>
      <c r="E68" s="19" t="n"/>
      <c r="F68" s="19" t="n"/>
      <c r="G68" s="40" t="n"/>
      <c r="H68" s="18" t="n"/>
      <c r="I68" s="40" t="n"/>
      <c r="J68" s="23">
        <f>IF($A68="","",IF($I68&lt;&gt;"","Closed — re-verified",IF($F68&lt;&gt;"","Fix applied — not re-verified","Open")))</f>
        <v/>
      </c>
    </row>
    <row r="69" ht="20" customHeight="1" s="42">
      <c r="A69" s="11" t="n"/>
      <c r="B69" s="39" t="n"/>
      <c r="C69" s="39" t="n"/>
      <c r="D69" s="11" t="n"/>
      <c r="E69" s="11" t="n"/>
      <c r="F69" s="11" t="n"/>
      <c r="G69" s="39" t="n"/>
      <c r="H69" s="10" t="n"/>
      <c r="I69" s="39" t="n"/>
      <c r="J69" s="15">
        <f>IF($A69="","",IF($I69&lt;&gt;"","Closed — re-verified",IF($F69&lt;&gt;"","Fix applied — not re-verified","Open")))</f>
        <v/>
      </c>
    </row>
    <row r="70" ht="20" customHeight="1" s="42">
      <c r="A70" s="19" t="n"/>
      <c r="B70" s="40" t="n"/>
      <c r="C70" s="40" t="n"/>
      <c r="D70" s="19" t="n"/>
      <c r="E70" s="19" t="n"/>
      <c r="F70" s="19" t="n"/>
      <c r="G70" s="40" t="n"/>
      <c r="H70" s="18" t="n"/>
      <c r="I70" s="40" t="n"/>
      <c r="J70" s="23">
        <f>IF($A70="","",IF($I70&lt;&gt;"","Closed — re-verified",IF($F70&lt;&gt;"","Fix applied — not re-verified","Open")))</f>
        <v/>
      </c>
    </row>
    <row r="71" ht="20" customHeight="1" s="42">
      <c r="A71" s="11" t="n"/>
      <c r="B71" s="39" t="n"/>
      <c r="C71" s="39" t="n"/>
      <c r="D71" s="11" t="n"/>
      <c r="E71" s="11" t="n"/>
      <c r="F71" s="11" t="n"/>
      <c r="G71" s="39" t="n"/>
      <c r="H71" s="10" t="n"/>
      <c r="I71" s="39" t="n"/>
      <c r="J71" s="15">
        <f>IF($A71="","",IF($I71&lt;&gt;"","Closed — re-verified",IF($F71&lt;&gt;"","Fix applied — not re-verified","Open")))</f>
        <v/>
      </c>
    </row>
    <row r="72" ht="20" customHeight="1" s="42">
      <c r="A72" s="19" t="n"/>
      <c r="B72" s="40" t="n"/>
      <c r="C72" s="40" t="n"/>
      <c r="D72" s="19" t="n"/>
      <c r="E72" s="19" t="n"/>
      <c r="F72" s="19" t="n"/>
      <c r="G72" s="40" t="n"/>
      <c r="H72" s="18" t="n"/>
      <c r="I72" s="40" t="n"/>
      <c r="J72" s="23">
        <f>IF($A72="","",IF($I72&lt;&gt;"","Closed — re-verified",IF($F72&lt;&gt;"","Fix applied — not re-verified","Open")))</f>
        <v/>
      </c>
    </row>
    <row r="73" ht="20" customHeight="1" s="42">
      <c r="A73" s="11" t="n"/>
      <c r="B73" s="39" t="n"/>
      <c r="C73" s="39" t="n"/>
      <c r="D73" s="11" t="n"/>
      <c r="E73" s="11" t="n"/>
      <c r="F73" s="11" t="n"/>
      <c r="G73" s="39" t="n"/>
      <c r="H73" s="10" t="n"/>
      <c r="I73" s="39" t="n"/>
      <c r="J73" s="15">
        <f>IF($A73="","",IF($I73&lt;&gt;"","Closed — re-verified",IF($F73&lt;&gt;"","Fix applied — not re-verified","Open")))</f>
        <v/>
      </c>
    </row>
    <row r="74" ht="20" customHeight="1" s="42">
      <c r="A74" s="19" t="n"/>
      <c r="B74" s="40" t="n"/>
      <c r="C74" s="40" t="n"/>
      <c r="D74" s="19" t="n"/>
      <c r="E74" s="19" t="n"/>
      <c r="F74" s="19" t="n"/>
      <c r="G74" s="40" t="n"/>
      <c r="H74" s="18" t="n"/>
      <c r="I74" s="40" t="n"/>
      <c r="J74" s="23">
        <f>IF($A74="","",IF($I74&lt;&gt;"","Closed — re-verified",IF($F74&lt;&gt;"","Fix applied — not re-verified","Open")))</f>
        <v/>
      </c>
    </row>
    <row r="75" ht="20" customHeight="1" s="42">
      <c r="A75" s="11" t="n"/>
      <c r="B75" s="39" t="n"/>
      <c r="C75" s="39" t="n"/>
      <c r="D75" s="11" t="n"/>
      <c r="E75" s="11" t="n"/>
      <c r="F75" s="11" t="n"/>
      <c r="G75" s="39" t="n"/>
      <c r="H75" s="10" t="n"/>
      <c r="I75" s="39" t="n"/>
      <c r="J75" s="15">
        <f>IF($A75="","",IF($I75&lt;&gt;"","Closed — re-verified",IF($F75&lt;&gt;"","Fix applied — not re-verified","Open")))</f>
        <v/>
      </c>
    </row>
    <row r="76" ht="20" customHeight="1" s="42">
      <c r="A76" s="19" t="n"/>
      <c r="B76" s="40" t="n"/>
      <c r="C76" s="40" t="n"/>
      <c r="D76" s="19" t="n"/>
      <c r="E76" s="19" t="n"/>
      <c r="F76" s="19" t="n"/>
      <c r="G76" s="40" t="n"/>
      <c r="H76" s="18" t="n"/>
      <c r="I76" s="40" t="n"/>
      <c r="J76" s="23">
        <f>IF($A76="","",IF($I76&lt;&gt;"","Closed — re-verified",IF($F76&lt;&gt;"","Fix applied — not re-verified","Open")))</f>
        <v/>
      </c>
    </row>
    <row r="77" ht="20" customHeight="1" s="42">
      <c r="A77" s="11" t="n"/>
      <c r="B77" s="39" t="n"/>
      <c r="C77" s="39" t="n"/>
      <c r="D77" s="11" t="n"/>
      <c r="E77" s="11" t="n"/>
      <c r="F77" s="11" t="n"/>
      <c r="G77" s="39" t="n"/>
      <c r="H77" s="10" t="n"/>
      <c r="I77" s="39" t="n"/>
      <c r="J77" s="15">
        <f>IF($A77="","",IF($I77&lt;&gt;"","Closed — re-verified",IF($F77&lt;&gt;"","Fix applied — not re-verified","Open")))</f>
        <v/>
      </c>
    </row>
    <row r="78" ht="20" customHeight="1" s="42">
      <c r="A78" s="19" t="n"/>
      <c r="B78" s="40" t="n"/>
      <c r="C78" s="40" t="n"/>
      <c r="D78" s="19" t="n"/>
      <c r="E78" s="19" t="n"/>
      <c r="F78" s="19" t="n"/>
      <c r="G78" s="40" t="n"/>
      <c r="H78" s="18" t="n"/>
      <c r="I78" s="40" t="n"/>
      <c r="J78" s="23">
        <f>IF($A78="","",IF($I78&lt;&gt;"","Closed — re-verified",IF($F78&lt;&gt;"","Fix applied — not re-verified","Open")))</f>
        <v/>
      </c>
    </row>
    <row r="79" ht="20" customHeight="1" s="42">
      <c r="A79" s="11" t="n"/>
      <c r="B79" s="39" t="n"/>
      <c r="C79" s="39" t="n"/>
      <c r="D79" s="11" t="n"/>
      <c r="E79" s="11" t="n"/>
      <c r="F79" s="11" t="n"/>
      <c r="G79" s="39" t="n"/>
      <c r="H79" s="10" t="n"/>
      <c r="I79" s="39" t="n"/>
      <c r="J79" s="15">
        <f>IF($A79="","",IF($I79&lt;&gt;"","Closed — re-verified",IF($F79&lt;&gt;"","Fix applied — not re-verified","Open")))</f>
        <v/>
      </c>
    </row>
    <row r="80" ht="20" customHeight="1" s="42">
      <c r="A80" s="19" t="n"/>
      <c r="B80" s="40" t="n"/>
      <c r="C80" s="40" t="n"/>
      <c r="D80" s="19" t="n"/>
      <c r="E80" s="19" t="n"/>
      <c r="F80" s="19" t="n"/>
      <c r="G80" s="40" t="n"/>
      <c r="H80" s="18" t="n"/>
      <c r="I80" s="40" t="n"/>
      <c r="J80" s="23">
        <f>IF($A80="","",IF($I80&lt;&gt;"","Closed — re-verified",IF($F80&lt;&gt;"","Fix applied — not re-verified","Open")))</f>
        <v/>
      </c>
    </row>
    <row r="81" ht="20" customHeight="1" s="42">
      <c r="A81" s="11" t="n"/>
      <c r="B81" s="39" t="n"/>
      <c r="C81" s="39" t="n"/>
      <c r="D81" s="11" t="n"/>
      <c r="E81" s="11" t="n"/>
      <c r="F81" s="11" t="n"/>
      <c r="G81" s="39" t="n"/>
      <c r="H81" s="10" t="n"/>
      <c r="I81" s="39" t="n"/>
      <c r="J81" s="15">
        <f>IF($A81="","",IF($I81&lt;&gt;"","Closed — re-verified",IF($F81&lt;&gt;"","Fix applied — not re-verified","Open")))</f>
        <v/>
      </c>
    </row>
    <row r="82" ht="20" customHeight="1" s="42">
      <c r="A82" s="19" t="n"/>
      <c r="B82" s="40" t="n"/>
      <c r="C82" s="40" t="n"/>
      <c r="D82" s="19" t="n"/>
      <c r="E82" s="19" t="n"/>
      <c r="F82" s="19" t="n"/>
      <c r="G82" s="40" t="n"/>
      <c r="H82" s="18" t="n"/>
      <c r="I82" s="40" t="n"/>
      <c r="J82" s="23">
        <f>IF($A82="","",IF($I82&lt;&gt;"","Closed — re-verified",IF($F82&lt;&gt;"","Fix applied — not re-verified","Open")))</f>
        <v/>
      </c>
    </row>
    <row r="83" ht="20" customHeight="1" s="42">
      <c r="A83" s="11" t="n"/>
      <c r="B83" s="39" t="n"/>
      <c r="C83" s="39" t="n"/>
      <c r="D83" s="11" t="n"/>
      <c r="E83" s="11" t="n"/>
      <c r="F83" s="11" t="n"/>
      <c r="G83" s="39" t="n"/>
      <c r="H83" s="10" t="n"/>
      <c r="I83" s="39" t="n"/>
      <c r="J83" s="15">
        <f>IF($A83="","",IF($I83&lt;&gt;"","Closed — re-verified",IF($F83&lt;&gt;"","Fix applied — not re-verified","Open")))</f>
        <v/>
      </c>
    </row>
    <row r="84" ht="20" customHeight="1" s="42">
      <c r="A84" s="19" t="n"/>
      <c r="B84" s="40" t="n"/>
      <c r="C84" s="40" t="n"/>
      <c r="D84" s="19" t="n"/>
      <c r="E84" s="19" t="n"/>
      <c r="F84" s="19" t="n"/>
      <c r="G84" s="40" t="n"/>
      <c r="H84" s="18" t="n"/>
      <c r="I84" s="40" t="n"/>
      <c r="J84" s="23">
        <f>IF($A84="","",IF($I84&lt;&gt;"","Closed — re-verified",IF($F84&lt;&gt;"","Fix applied — not re-verified","Open")))</f>
        <v/>
      </c>
    </row>
    <row r="85" ht="20" customHeight="1" s="42">
      <c r="A85" s="11" t="n"/>
      <c r="B85" s="39" t="n"/>
      <c r="C85" s="39" t="n"/>
      <c r="D85" s="11" t="n"/>
      <c r="E85" s="11" t="n"/>
      <c r="F85" s="11" t="n"/>
      <c r="G85" s="39" t="n"/>
      <c r="H85" s="10" t="n"/>
      <c r="I85" s="39" t="n"/>
      <c r="J85" s="15">
        <f>IF($A85="","",IF($I85&lt;&gt;"","Closed — re-verified",IF($F85&lt;&gt;"","Fix applied — not re-verified","Open")))</f>
        <v/>
      </c>
    </row>
    <row r="86" ht="20" customHeight="1" s="42">
      <c r="A86" s="19" t="n"/>
      <c r="B86" s="40" t="n"/>
      <c r="C86" s="40" t="n"/>
      <c r="D86" s="19" t="n"/>
      <c r="E86" s="19" t="n"/>
      <c r="F86" s="19" t="n"/>
      <c r="G86" s="40" t="n"/>
      <c r="H86" s="18" t="n"/>
      <c r="I86" s="40" t="n"/>
      <c r="J86" s="23">
        <f>IF($A86="","",IF($I86&lt;&gt;"","Closed — re-verified",IF($F86&lt;&gt;"","Fix applied — not re-verified","Open")))</f>
        <v/>
      </c>
    </row>
    <row r="87" ht="20" customHeight="1" s="42">
      <c r="A87" s="11" t="n"/>
      <c r="B87" s="39" t="n"/>
      <c r="C87" s="39" t="n"/>
      <c r="D87" s="11" t="n"/>
      <c r="E87" s="11" t="n"/>
      <c r="F87" s="11" t="n"/>
      <c r="G87" s="39" t="n"/>
      <c r="H87" s="10" t="n"/>
      <c r="I87" s="39" t="n"/>
      <c r="J87" s="15">
        <f>IF($A87="","",IF($I87&lt;&gt;"","Closed — re-verified",IF($F87&lt;&gt;"","Fix applied — not re-verified","Open")))</f>
        <v/>
      </c>
    </row>
    <row r="88" ht="20" customHeight="1" s="42">
      <c r="A88" s="19" t="n"/>
      <c r="B88" s="40" t="n"/>
      <c r="C88" s="40" t="n"/>
      <c r="D88" s="19" t="n"/>
      <c r="E88" s="19" t="n"/>
      <c r="F88" s="19" t="n"/>
      <c r="G88" s="40" t="n"/>
      <c r="H88" s="18" t="n"/>
      <c r="I88" s="40" t="n"/>
      <c r="J88" s="23">
        <f>IF($A88="","",IF($I88&lt;&gt;"","Closed — re-verified",IF($F88&lt;&gt;"","Fix applied — not re-verified","Open")))</f>
        <v/>
      </c>
    </row>
    <row r="89" ht="20" customHeight="1" s="42">
      <c r="A89" s="11" t="n"/>
      <c r="B89" s="39" t="n"/>
      <c r="C89" s="39" t="n"/>
      <c r="D89" s="11" t="n"/>
      <c r="E89" s="11" t="n"/>
      <c r="F89" s="11" t="n"/>
      <c r="G89" s="39" t="n"/>
      <c r="H89" s="10" t="n"/>
      <c r="I89" s="39" t="n"/>
      <c r="J89" s="15">
        <f>IF($A89="","",IF($I89&lt;&gt;"","Closed — re-verified",IF($F89&lt;&gt;"","Fix applied — not re-verified","Open")))</f>
        <v/>
      </c>
    </row>
    <row r="90" ht="20" customHeight="1" s="42">
      <c r="A90" s="19" t="n"/>
      <c r="B90" s="40" t="n"/>
      <c r="C90" s="40" t="n"/>
      <c r="D90" s="19" t="n"/>
      <c r="E90" s="19" t="n"/>
      <c r="F90" s="19" t="n"/>
      <c r="G90" s="40" t="n"/>
      <c r="H90" s="18" t="n"/>
      <c r="I90" s="40" t="n"/>
      <c r="J90" s="23">
        <f>IF($A90="","",IF($I90&lt;&gt;"","Closed — re-verified",IF($F90&lt;&gt;"","Fix applied — not re-verified","Open")))</f>
        <v/>
      </c>
    </row>
    <row r="91" ht="20" customHeight="1" s="42">
      <c r="A91" s="11" t="n"/>
      <c r="B91" s="39" t="n"/>
      <c r="C91" s="39" t="n"/>
      <c r="D91" s="11" t="n"/>
      <c r="E91" s="11" t="n"/>
      <c r="F91" s="11" t="n"/>
      <c r="G91" s="39" t="n"/>
      <c r="H91" s="10" t="n"/>
      <c r="I91" s="39" t="n"/>
      <c r="J91" s="15">
        <f>IF($A91="","",IF($I91&lt;&gt;"","Closed — re-verified",IF($F91&lt;&gt;"","Fix applied — not re-verified","Open")))</f>
        <v/>
      </c>
    </row>
    <row r="92" ht="20" customHeight="1" s="42">
      <c r="A92" s="19" t="n"/>
      <c r="B92" s="40" t="n"/>
      <c r="C92" s="40" t="n"/>
      <c r="D92" s="19" t="n"/>
      <c r="E92" s="19" t="n"/>
      <c r="F92" s="19" t="n"/>
      <c r="G92" s="40" t="n"/>
      <c r="H92" s="18" t="n"/>
      <c r="I92" s="40" t="n"/>
      <c r="J92" s="23">
        <f>IF($A92="","",IF($I92&lt;&gt;"","Closed — re-verified",IF($F92&lt;&gt;"","Fix applied — not re-verified","Open")))</f>
        <v/>
      </c>
    </row>
    <row r="93" ht="20" customHeight="1" s="42">
      <c r="A93" s="11" t="n"/>
      <c r="B93" s="39" t="n"/>
      <c r="C93" s="39" t="n"/>
      <c r="D93" s="11" t="n"/>
      <c r="E93" s="11" t="n"/>
      <c r="F93" s="11" t="n"/>
      <c r="G93" s="39" t="n"/>
      <c r="H93" s="10" t="n"/>
      <c r="I93" s="39" t="n"/>
      <c r="J93" s="15">
        <f>IF($A93="","",IF($I93&lt;&gt;"","Closed — re-verified",IF($F93&lt;&gt;"","Fix applied — not re-verified","Open")))</f>
        <v/>
      </c>
    </row>
    <row r="94" ht="20" customHeight="1" s="42">
      <c r="A94" s="19" t="n"/>
      <c r="B94" s="40" t="n"/>
      <c r="C94" s="40" t="n"/>
      <c r="D94" s="19" t="n"/>
      <c r="E94" s="19" t="n"/>
      <c r="F94" s="19" t="n"/>
      <c r="G94" s="40" t="n"/>
      <c r="H94" s="18" t="n"/>
      <c r="I94" s="40" t="n"/>
      <c r="J94" s="23">
        <f>IF($A94="","",IF($I94&lt;&gt;"","Closed — re-verified",IF($F94&lt;&gt;"","Fix applied — not re-verified","Open")))</f>
        <v/>
      </c>
    </row>
    <row r="95" ht="20" customHeight="1" s="42">
      <c r="A95" s="11" t="n"/>
      <c r="B95" s="39" t="n"/>
      <c r="C95" s="39" t="n"/>
      <c r="D95" s="11" t="n"/>
      <c r="E95" s="11" t="n"/>
      <c r="F95" s="11" t="n"/>
      <c r="G95" s="39" t="n"/>
      <c r="H95" s="10" t="n"/>
      <c r="I95" s="39" t="n"/>
      <c r="J95" s="15">
        <f>IF($A95="","",IF($I95&lt;&gt;"","Closed — re-verified",IF($F95&lt;&gt;"","Fix applied — not re-verified","Open")))</f>
        <v/>
      </c>
    </row>
    <row r="96" ht="20" customHeight="1" s="42">
      <c r="A96" s="19" t="n"/>
      <c r="B96" s="40" t="n"/>
      <c r="C96" s="40" t="n"/>
      <c r="D96" s="19" t="n"/>
      <c r="E96" s="19" t="n"/>
      <c r="F96" s="19" t="n"/>
      <c r="G96" s="40" t="n"/>
      <c r="H96" s="18" t="n"/>
      <c r="I96" s="40" t="n"/>
      <c r="J96" s="23">
        <f>IF($A96="","",IF($I96&lt;&gt;"","Closed — re-verified",IF($F96&lt;&gt;"","Fix applied — not re-verified","Open")))</f>
        <v/>
      </c>
    </row>
    <row r="97" ht="20" customHeight="1" s="42">
      <c r="A97" s="11" t="n"/>
      <c r="B97" s="39" t="n"/>
      <c r="C97" s="39" t="n"/>
      <c r="D97" s="11" t="n"/>
      <c r="E97" s="11" t="n"/>
      <c r="F97" s="11" t="n"/>
      <c r="G97" s="39" t="n"/>
      <c r="H97" s="10" t="n"/>
      <c r="I97" s="39" t="n"/>
      <c r="J97" s="15">
        <f>IF($A97="","",IF($I97&lt;&gt;"","Closed — re-verified",IF($F97&lt;&gt;"","Fix applied — not re-verified","Open")))</f>
        <v/>
      </c>
    </row>
    <row r="98" ht="20" customHeight="1" s="42">
      <c r="A98" s="19" t="n"/>
      <c r="B98" s="40" t="n"/>
      <c r="C98" s="40" t="n"/>
      <c r="D98" s="19" t="n"/>
      <c r="E98" s="19" t="n"/>
      <c r="F98" s="19" t="n"/>
      <c r="G98" s="40" t="n"/>
      <c r="H98" s="18" t="n"/>
      <c r="I98" s="40" t="n"/>
      <c r="J98" s="23">
        <f>IF($A98="","",IF($I98&lt;&gt;"","Closed — re-verified",IF($F98&lt;&gt;"","Fix applied — not re-verified","Open")))</f>
        <v/>
      </c>
    </row>
    <row r="99" ht="20" customHeight="1" s="42">
      <c r="A99" s="11" t="n"/>
      <c r="B99" s="39" t="n"/>
      <c r="C99" s="39" t="n"/>
      <c r="D99" s="11" t="n"/>
      <c r="E99" s="11" t="n"/>
      <c r="F99" s="11" t="n"/>
      <c r="G99" s="39" t="n"/>
      <c r="H99" s="10" t="n"/>
      <c r="I99" s="39" t="n"/>
      <c r="J99" s="15">
        <f>IF($A99="","",IF($I99&lt;&gt;"","Closed — re-verified",IF($F99&lt;&gt;"","Fix applied — not re-verified","Open")))</f>
        <v/>
      </c>
    </row>
    <row r="100" ht="20" customHeight="1" s="42">
      <c r="A100" s="19" t="n"/>
      <c r="B100" s="40" t="n"/>
      <c r="C100" s="40" t="n"/>
      <c r="D100" s="19" t="n"/>
      <c r="E100" s="19" t="n"/>
      <c r="F100" s="19" t="n"/>
      <c r="G100" s="40" t="n"/>
      <c r="H100" s="18" t="n"/>
      <c r="I100" s="40" t="n"/>
      <c r="J100" s="23">
        <f>IF($A100="","",IF($I100&lt;&gt;"","Closed — re-verified",IF($F100&lt;&gt;"","Fix applied — not re-verified","Open")))</f>
        <v/>
      </c>
    </row>
    <row r="101" ht="20" customHeight="1" s="42">
      <c r="A101" s="11" t="n"/>
      <c r="B101" s="39" t="n"/>
      <c r="C101" s="39" t="n"/>
      <c r="D101" s="11" t="n"/>
      <c r="E101" s="11" t="n"/>
      <c r="F101" s="11" t="n"/>
      <c r="G101" s="39" t="n"/>
      <c r="H101" s="10" t="n"/>
      <c r="I101" s="39" t="n"/>
      <c r="J101" s="15">
        <f>IF($A101="","",IF($I101&lt;&gt;"","Closed — re-verified",IF($F101&lt;&gt;"","Fix applied — not re-verified","Open")))</f>
        <v/>
      </c>
    </row>
    <row r="102" ht="20" customHeight="1" s="42">
      <c r="A102" s="19" t="n"/>
      <c r="B102" s="40" t="n"/>
      <c r="C102" s="40" t="n"/>
      <c r="D102" s="19" t="n"/>
      <c r="E102" s="19" t="n"/>
      <c r="F102" s="19" t="n"/>
      <c r="G102" s="40" t="n"/>
      <c r="H102" s="18" t="n"/>
      <c r="I102" s="40" t="n"/>
      <c r="J102" s="23">
        <f>IF($A102="","",IF($I102&lt;&gt;"","Closed — re-verified",IF($F102&lt;&gt;"","Fix applied — not re-verified","Open")))</f>
        <v/>
      </c>
    </row>
    <row r="103" ht="20" customHeight="1" s="42">
      <c r="A103" s="11" t="n"/>
      <c r="B103" s="39" t="n"/>
      <c r="C103" s="39" t="n"/>
      <c r="D103" s="11" t="n"/>
      <c r="E103" s="11" t="n"/>
      <c r="F103" s="11" t="n"/>
      <c r="G103" s="39" t="n"/>
      <c r="H103" s="10" t="n"/>
      <c r="I103" s="39" t="n"/>
      <c r="J103" s="15">
        <f>IF($A103="","",IF($I103&lt;&gt;"","Closed — re-verified",IF($F103&lt;&gt;"","Fix applied — not re-verified","Open")))</f>
        <v/>
      </c>
    </row>
    <row r="104" ht="20" customHeight="1" s="42">
      <c r="A104" s="19" t="n"/>
      <c r="B104" s="40" t="n"/>
      <c r="C104" s="40" t="n"/>
      <c r="D104" s="19" t="n"/>
      <c r="E104" s="19" t="n"/>
      <c r="F104" s="19" t="n"/>
      <c r="G104" s="40" t="n"/>
      <c r="H104" s="18" t="n"/>
      <c r="I104" s="40" t="n"/>
      <c r="J104" s="23">
        <f>IF($A104="","",IF($I104&lt;&gt;"","Closed — re-verified",IF($F104&lt;&gt;"","Fix applied — not re-verified","Open")))</f>
        <v/>
      </c>
    </row>
    <row r="105" ht="20" customHeight="1" s="42">
      <c r="A105" s="11" t="n"/>
      <c r="B105" s="39" t="n"/>
      <c r="C105" s="39" t="n"/>
      <c r="D105" s="11" t="n"/>
      <c r="E105" s="11" t="n"/>
      <c r="F105" s="11" t="n"/>
      <c r="G105" s="39" t="n"/>
      <c r="H105" s="10" t="n"/>
      <c r="I105" s="39" t="n"/>
      <c r="J105" s="15">
        <f>IF($A105="","",IF($I105&lt;&gt;"","Closed — re-verified",IF($F105&lt;&gt;"","Fix applied — not re-verified","Open")))</f>
        <v/>
      </c>
    </row>
    <row r="106" ht="20" customHeight="1" s="42">
      <c r="A106" s="19" t="n"/>
      <c r="B106" s="40" t="n"/>
      <c r="C106" s="40" t="n"/>
      <c r="D106" s="19" t="n"/>
      <c r="E106" s="19" t="n"/>
      <c r="F106" s="19" t="n"/>
      <c r="G106" s="40" t="n"/>
      <c r="H106" s="18" t="n"/>
      <c r="I106" s="40" t="n"/>
      <c r="J106" s="23">
        <f>IF($A106="","",IF($I106&lt;&gt;"","Closed — re-verified",IF($F106&lt;&gt;"","Fix applied — not re-verified","Open")))</f>
        <v/>
      </c>
    </row>
    <row r="107" ht="20" customHeight="1" s="42">
      <c r="A107" s="11" t="n"/>
      <c r="B107" s="39" t="n"/>
      <c r="C107" s="39" t="n"/>
      <c r="D107" s="11" t="n"/>
      <c r="E107" s="11" t="n"/>
      <c r="F107" s="11" t="n"/>
      <c r="G107" s="39" t="n"/>
      <c r="H107" s="10" t="n"/>
      <c r="I107" s="39" t="n"/>
      <c r="J107" s="15">
        <f>IF($A107="","",IF($I107&lt;&gt;"","Closed — re-verified",IF($F107&lt;&gt;"","Fix applied — not re-verified","Open")))</f>
        <v/>
      </c>
    </row>
    <row r="108" ht="20" customHeight="1" s="42">
      <c r="A108" s="19" t="n"/>
      <c r="B108" s="40" t="n"/>
      <c r="C108" s="40" t="n"/>
      <c r="D108" s="19" t="n"/>
      <c r="E108" s="19" t="n"/>
      <c r="F108" s="19" t="n"/>
      <c r="G108" s="40" t="n"/>
      <c r="H108" s="18" t="n"/>
      <c r="I108" s="40" t="n"/>
      <c r="J108" s="23">
        <f>IF($A108="","",IF($I108&lt;&gt;"","Closed — re-verified",IF($F108&lt;&gt;"","Fix applied — not re-verified","Open")))</f>
        <v/>
      </c>
    </row>
    <row r="109" ht="20" customHeight="1" s="42">
      <c r="A109" s="11" t="n"/>
      <c r="B109" s="39" t="n"/>
      <c r="C109" s="39" t="n"/>
      <c r="D109" s="11" t="n"/>
      <c r="E109" s="11" t="n"/>
      <c r="F109" s="11" t="n"/>
      <c r="G109" s="39" t="n"/>
      <c r="H109" s="10" t="n"/>
      <c r="I109" s="39" t="n"/>
      <c r="J109" s="15">
        <f>IF($A109="","",IF($I109&lt;&gt;"","Closed — re-verified",IF($F109&lt;&gt;"","Fix applied — not re-verified","Open")))</f>
        <v/>
      </c>
    </row>
    <row r="110" ht="20" customHeight="1" s="42">
      <c r="A110" s="19" t="n"/>
      <c r="B110" s="40" t="n"/>
      <c r="C110" s="40" t="n"/>
      <c r="D110" s="19" t="n"/>
      <c r="E110" s="19" t="n"/>
      <c r="F110" s="19" t="n"/>
      <c r="G110" s="40" t="n"/>
      <c r="H110" s="18" t="n"/>
      <c r="I110" s="40" t="n"/>
      <c r="J110" s="23">
        <f>IF($A110="","",IF($I110&lt;&gt;"","Closed — re-verified",IF($F110&lt;&gt;"","Fix applied — not re-verified","Open")))</f>
        <v/>
      </c>
    </row>
    <row r="111" ht="20" customHeight="1" s="42">
      <c r="A111" s="11" t="n"/>
      <c r="B111" s="39" t="n"/>
      <c r="C111" s="39" t="n"/>
      <c r="D111" s="11" t="n"/>
      <c r="E111" s="11" t="n"/>
      <c r="F111" s="11" t="n"/>
      <c r="G111" s="39" t="n"/>
      <c r="H111" s="10" t="n"/>
      <c r="I111" s="39" t="n"/>
      <c r="J111" s="15">
        <f>IF($A111="","",IF($I111&lt;&gt;"","Closed — re-verified",IF($F111&lt;&gt;"","Fix applied — not re-verified","Open")))</f>
        <v/>
      </c>
    </row>
    <row r="112" ht="20" customHeight="1" s="42">
      <c r="A112" s="19" t="n"/>
      <c r="B112" s="40" t="n"/>
      <c r="C112" s="40" t="n"/>
      <c r="D112" s="19" t="n"/>
      <c r="E112" s="19" t="n"/>
      <c r="F112" s="19" t="n"/>
      <c r="G112" s="40" t="n"/>
      <c r="H112" s="18" t="n"/>
      <c r="I112" s="40" t="n"/>
      <c r="J112" s="23">
        <f>IF($A112="","",IF($I112&lt;&gt;"","Closed — re-verified",IF($F112&lt;&gt;"","Fix applied — not re-verified","Open")))</f>
        <v/>
      </c>
    </row>
    <row r="113" ht="20" customHeight="1" s="42">
      <c r="A113" s="11" t="n"/>
      <c r="B113" s="39" t="n"/>
      <c r="C113" s="39" t="n"/>
      <c r="D113" s="11" t="n"/>
      <c r="E113" s="11" t="n"/>
      <c r="F113" s="11" t="n"/>
      <c r="G113" s="39" t="n"/>
      <c r="H113" s="10" t="n"/>
      <c r="I113" s="39" t="n"/>
      <c r="J113" s="15">
        <f>IF($A113="","",IF($I113&lt;&gt;"","Closed — re-verified",IF($F113&lt;&gt;"","Fix applied — not re-verified","Open")))</f>
        <v/>
      </c>
    </row>
    <row r="114" ht="20" customHeight="1" s="42">
      <c r="A114" s="19" t="n"/>
      <c r="B114" s="40" t="n"/>
      <c r="C114" s="40" t="n"/>
      <c r="D114" s="19" t="n"/>
      <c r="E114" s="19" t="n"/>
      <c r="F114" s="19" t="n"/>
      <c r="G114" s="40" t="n"/>
      <c r="H114" s="18" t="n"/>
      <c r="I114" s="40" t="n"/>
      <c r="J114" s="23">
        <f>IF($A114="","",IF($I114&lt;&gt;"","Closed — re-verified",IF($F114&lt;&gt;"","Fix applied — not re-verified","Open")))</f>
        <v/>
      </c>
    </row>
    <row r="115" ht="20" customHeight="1" s="42">
      <c r="A115" s="11" t="n"/>
      <c r="B115" s="39" t="n"/>
      <c r="C115" s="39" t="n"/>
      <c r="D115" s="11" t="n"/>
      <c r="E115" s="11" t="n"/>
      <c r="F115" s="11" t="n"/>
      <c r="G115" s="39" t="n"/>
      <c r="H115" s="10" t="n"/>
      <c r="I115" s="39" t="n"/>
      <c r="J115" s="15">
        <f>IF($A115="","",IF($I115&lt;&gt;"","Closed — re-verified",IF($F115&lt;&gt;"","Fix applied — not re-verified","Open")))</f>
        <v/>
      </c>
    </row>
    <row r="116" ht="20" customHeight="1" s="42">
      <c r="A116" s="19" t="n"/>
      <c r="B116" s="40" t="n"/>
      <c r="C116" s="40" t="n"/>
      <c r="D116" s="19" t="n"/>
      <c r="E116" s="19" t="n"/>
      <c r="F116" s="19" t="n"/>
      <c r="G116" s="40" t="n"/>
      <c r="H116" s="18" t="n"/>
      <c r="I116" s="40" t="n"/>
      <c r="J116" s="23">
        <f>IF($A116="","",IF($I116&lt;&gt;"","Closed — re-verified",IF($F116&lt;&gt;"","Fix applied — not re-verified","Open")))</f>
        <v/>
      </c>
    </row>
    <row r="117" ht="20" customHeight="1" s="42">
      <c r="A117" s="11" t="n"/>
      <c r="B117" s="39" t="n"/>
      <c r="C117" s="39" t="n"/>
      <c r="D117" s="11" t="n"/>
      <c r="E117" s="11" t="n"/>
      <c r="F117" s="11" t="n"/>
      <c r="G117" s="39" t="n"/>
      <c r="H117" s="10" t="n"/>
      <c r="I117" s="39" t="n"/>
      <c r="J117" s="15">
        <f>IF($A117="","",IF($I117&lt;&gt;"","Closed — re-verified",IF($F117&lt;&gt;"","Fix applied — not re-verified","Open")))</f>
        <v/>
      </c>
    </row>
    <row r="118" ht="20" customHeight="1" s="42">
      <c r="A118" s="19" t="n"/>
      <c r="B118" s="40" t="n"/>
      <c r="C118" s="40" t="n"/>
      <c r="D118" s="19" t="n"/>
      <c r="E118" s="19" t="n"/>
      <c r="F118" s="19" t="n"/>
      <c r="G118" s="40" t="n"/>
      <c r="H118" s="18" t="n"/>
      <c r="I118" s="40" t="n"/>
      <c r="J118" s="23">
        <f>IF($A118="","",IF($I118&lt;&gt;"","Closed — re-verified",IF($F118&lt;&gt;"","Fix applied — not re-verified","Open")))</f>
        <v/>
      </c>
    </row>
    <row r="119" ht="20" customHeight="1" s="42">
      <c r="A119" s="11" t="n"/>
      <c r="B119" s="39" t="n"/>
      <c r="C119" s="39" t="n"/>
      <c r="D119" s="11" t="n"/>
      <c r="E119" s="11" t="n"/>
      <c r="F119" s="11" t="n"/>
      <c r="G119" s="39" t="n"/>
      <c r="H119" s="10" t="n"/>
      <c r="I119" s="39" t="n"/>
      <c r="J119" s="15">
        <f>IF($A119="","",IF($I119&lt;&gt;"","Closed — re-verified",IF($F119&lt;&gt;"","Fix applied — not re-verified","Open")))</f>
        <v/>
      </c>
    </row>
    <row r="120" ht="20" customHeight="1" s="42">
      <c r="A120" s="19" t="n"/>
      <c r="B120" s="40" t="n"/>
      <c r="C120" s="40" t="n"/>
      <c r="D120" s="19" t="n"/>
      <c r="E120" s="19" t="n"/>
      <c r="F120" s="19" t="n"/>
      <c r="G120" s="40" t="n"/>
      <c r="H120" s="18" t="n"/>
      <c r="I120" s="40" t="n"/>
      <c r="J120" s="23">
        <f>IF($A120="","",IF($I120&lt;&gt;"","Closed — re-verified",IF($F120&lt;&gt;"","Fix applied — not re-verified","Open")))</f>
        <v/>
      </c>
    </row>
    <row r="121" ht="20" customHeight="1" s="42">
      <c r="A121" s="11" t="n"/>
      <c r="B121" s="39" t="n"/>
      <c r="C121" s="39" t="n"/>
      <c r="D121" s="11" t="n"/>
      <c r="E121" s="11" t="n"/>
      <c r="F121" s="11" t="n"/>
      <c r="G121" s="39" t="n"/>
      <c r="H121" s="10" t="n"/>
      <c r="I121" s="39" t="n"/>
      <c r="J121" s="15">
        <f>IF($A121="","",IF($I121&lt;&gt;"","Closed — re-verified",IF($F121&lt;&gt;"","Fix applied — not re-verified","Open")))</f>
        <v/>
      </c>
    </row>
    <row r="122" ht="20" customHeight="1" s="42">
      <c r="A122" s="19" t="n"/>
      <c r="B122" s="40" t="n"/>
      <c r="C122" s="40" t="n"/>
      <c r="D122" s="19" t="n"/>
      <c r="E122" s="19" t="n"/>
      <c r="F122" s="19" t="n"/>
      <c r="G122" s="40" t="n"/>
      <c r="H122" s="18" t="n"/>
      <c r="I122" s="40" t="n"/>
      <c r="J122" s="23">
        <f>IF($A122="","",IF($I122&lt;&gt;"","Closed — re-verified",IF($F122&lt;&gt;"","Fix applied — not re-verified","Open")))</f>
        <v/>
      </c>
    </row>
    <row r="123" ht="20" customHeight="1" s="42">
      <c r="A123" s="11" t="n"/>
      <c r="B123" s="39" t="n"/>
      <c r="C123" s="39" t="n"/>
      <c r="D123" s="11" t="n"/>
      <c r="E123" s="11" t="n"/>
      <c r="F123" s="11" t="n"/>
      <c r="G123" s="39" t="n"/>
      <c r="H123" s="10" t="n"/>
      <c r="I123" s="39" t="n"/>
      <c r="J123" s="15">
        <f>IF($A123="","",IF($I123&lt;&gt;"","Closed — re-verified",IF($F123&lt;&gt;"","Fix applied — not re-verified","Open")))</f>
        <v/>
      </c>
    </row>
    <row r="124" ht="20" customHeight="1" s="42">
      <c r="A124" s="19" t="n"/>
      <c r="B124" s="40" t="n"/>
      <c r="C124" s="40" t="n"/>
      <c r="D124" s="19" t="n"/>
      <c r="E124" s="19" t="n"/>
      <c r="F124" s="19" t="n"/>
      <c r="G124" s="40" t="n"/>
      <c r="H124" s="18" t="n"/>
      <c r="I124" s="40" t="n"/>
      <c r="J124" s="23">
        <f>IF($A124="","",IF($I124&lt;&gt;"","Closed — re-verified",IF($F124&lt;&gt;"","Fix applied — not re-verified","Open")))</f>
        <v/>
      </c>
    </row>
    <row r="125" ht="20" customHeight="1" s="42">
      <c r="A125" s="11" t="n"/>
      <c r="B125" s="39" t="n"/>
      <c r="C125" s="39" t="n"/>
      <c r="D125" s="11" t="n"/>
      <c r="E125" s="11" t="n"/>
      <c r="F125" s="11" t="n"/>
      <c r="G125" s="39" t="n"/>
      <c r="H125" s="10" t="n"/>
      <c r="I125" s="39" t="n"/>
      <c r="J125" s="15">
        <f>IF($A125="","",IF($I125&lt;&gt;"","Closed — re-verified",IF($F125&lt;&gt;"","Fix applied — not re-verified","Open")))</f>
        <v/>
      </c>
    </row>
    <row r="126" ht="20" customHeight="1" s="42">
      <c r="A126" s="19" t="n"/>
      <c r="B126" s="40" t="n"/>
      <c r="C126" s="40" t="n"/>
      <c r="D126" s="19" t="n"/>
      <c r="E126" s="19" t="n"/>
      <c r="F126" s="19" t="n"/>
      <c r="G126" s="40" t="n"/>
      <c r="H126" s="18" t="n"/>
      <c r="I126" s="40" t="n"/>
      <c r="J126" s="23">
        <f>IF($A126="","",IF($I126&lt;&gt;"","Closed — re-verified",IF($F126&lt;&gt;"","Fix applied — not re-verified","Open")))</f>
        <v/>
      </c>
    </row>
    <row r="127" ht="20" customHeight="1" s="42">
      <c r="A127" s="11" t="n"/>
      <c r="B127" s="39" t="n"/>
      <c r="C127" s="39" t="n"/>
      <c r="D127" s="11" t="n"/>
      <c r="E127" s="11" t="n"/>
      <c r="F127" s="11" t="n"/>
      <c r="G127" s="39" t="n"/>
      <c r="H127" s="10" t="n"/>
      <c r="I127" s="39" t="n"/>
      <c r="J127" s="15">
        <f>IF($A127="","",IF($I127&lt;&gt;"","Closed — re-verified",IF($F127&lt;&gt;"","Fix applied — not re-verified","Open")))</f>
        <v/>
      </c>
    </row>
    <row r="128" ht="20" customHeight="1" s="42">
      <c r="A128" s="19" t="n"/>
      <c r="B128" s="40" t="n"/>
      <c r="C128" s="40" t="n"/>
      <c r="D128" s="19" t="n"/>
      <c r="E128" s="19" t="n"/>
      <c r="F128" s="19" t="n"/>
      <c r="G128" s="40" t="n"/>
      <c r="H128" s="18" t="n"/>
      <c r="I128" s="40" t="n"/>
      <c r="J128" s="23">
        <f>IF($A128="","",IF($I128&lt;&gt;"","Closed — re-verified",IF($F128&lt;&gt;"","Fix applied — not re-verified","Open")))</f>
        <v/>
      </c>
    </row>
    <row r="129" ht="20" customHeight="1" s="42">
      <c r="A129" s="11" t="n"/>
      <c r="B129" s="39" t="n"/>
      <c r="C129" s="39" t="n"/>
      <c r="D129" s="11" t="n"/>
      <c r="E129" s="11" t="n"/>
      <c r="F129" s="11" t="n"/>
      <c r="G129" s="39" t="n"/>
      <c r="H129" s="10" t="n"/>
      <c r="I129" s="39" t="n"/>
      <c r="J129" s="15">
        <f>IF($A129="","",IF($I129&lt;&gt;"","Closed — re-verified",IF($F129&lt;&gt;"","Fix applied — not re-verified","Open")))</f>
        <v/>
      </c>
    </row>
    <row r="130" ht="20" customHeight="1" s="42">
      <c r="A130" s="19" t="n"/>
      <c r="B130" s="40" t="n"/>
      <c r="C130" s="40" t="n"/>
      <c r="D130" s="19" t="n"/>
      <c r="E130" s="19" t="n"/>
      <c r="F130" s="19" t="n"/>
      <c r="G130" s="40" t="n"/>
      <c r="H130" s="18" t="n"/>
      <c r="I130" s="40" t="n"/>
      <c r="J130" s="23">
        <f>IF($A130="","",IF($I130&lt;&gt;"","Closed — re-verified",IF($F130&lt;&gt;"","Fix applied — not re-verified","Open")))</f>
        <v/>
      </c>
    </row>
    <row r="131" ht="20" customHeight="1" s="42">
      <c r="A131" s="11" t="n"/>
      <c r="B131" s="39" t="n"/>
      <c r="C131" s="39" t="n"/>
      <c r="D131" s="11" t="n"/>
      <c r="E131" s="11" t="n"/>
      <c r="F131" s="11" t="n"/>
      <c r="G131" s="39" t="n"/>
      <c r="H131" s="10" t="n"/>
      <c r="I131" s="39" t="n"/>
      <c r="J131" s="15">
        <f>IF($A131="","",IF($I131&lt;&gt;"","Closed — re-verified",IF($F131&lt;&gt;"","Fix applied — not re-verified","Open")))</f>
        <v/>
      </c>
    </row>
    <row r="132" ht="20" customHeight="1" s="42">
      <c r="A132" s="19" t="n"/>
      <c r="B132" s="40" t="n"/>
      <c r="C132" s="40" t="n"/>
      <c r="D132" s="19" t="n"/>
      <c r="E132" s="19" t="n"/>
      <c r="F132" s="19" t="n"/>
      <c r="G132" s="40" t="n"/>
      <c r="H132" s="18" t="n"/>
      <c r="I132" s="40" t="n"/>
      <c r="J132" s="23">
        <f>IF($A132="","",IF($I132&lt;&gt;"","Closed — re-verified",IF($F132&lt;&gt;"","Fix applied — not re-verified","Open")))</f>
        <v/>
      </c>
    </row>
    <row r="133" ht="20" customHeight="1" s="42">
      <c r="A133" s="11" t="n"/>
      <c r="B133" s="39" t="n"/>
      <c r="C133" s="39" t="n"/>
      <c r="D133" s="11" t="n"/>
      <c r="E133" s="11" t="n"/>
      <c r="F133" s="11" t="n"/>
      <c r="G133" s="39" t="n"/>
      <c r="H133" s="10" t="n"/>
      <c r="I133" s="39" t="n"/>
      <c r="J133" s="15">
        <f>IF($A133="","",IF($I133&lt;&gt;"","Closed — re-verified",IF($F133&lt;&gt;"","Fix applied — not re-verified","Open")))</f>
        <v/>
      </c>
    </row>
    <row r="134" ht="20" customHeight="1" s="42">
      <c r="A134" s="19" t="n"/>
      <c r="B134" s="40" t="n"/>
      <c r="C134" s="40" t="n"/>
      <c r="D134" s="19" t="n"/>
      <c r="E134" s="19" t="n"/>
      <c r="F134" s="19" t="n"/>
      <c r="G134" s="40" t="n"/>
      <c r="H134" s="18" t="n"/>
      <c r="I134" s="40" t="n"/>
      <c r="J134" s="23">
        <f>IF($A134="","",IF($I134&lt;&gt;"","Closed — re-verified",IF($F134&lt;&gt;"","Fix applied — not re-verified","Open")))</f>
        <v/>
      </c>
    </row>
    <row r="135" ht="20" customHeight="1" s="42">
      <c r="A135" s="11" t="n"/>
      <c r="B135" s="39" t="n"/>
      <c r="C135" s="39" t="n"/>
      <c r="D135" s="11" t="n"/>
      <c r="E135" s="11" t="n"/>
      <c r="F135" s="11" t="n"/>
      <c r="G135" s="39" t="n"/>
      <c r="H135" s="10" t="n"/>
      <c r="I135" s="39" t="n"/>
      <c r="J135" s="15">
        <f>IF($A135="","",IF($I135&lt;&gt;"","Closed — re-verified",IF($F135&lt;&gt;"","Fix applied — not re-verified","Open")))</f>
        <v/>
      </c>
    </row>
    <row r="136" ht="20" customHeight="1" s="42">
      <c r="A136" s="19" t="n"/>
      <c r="B136" s="40" t="n"/>
      <c r="C136" s="40" t="n"/>
      <c r="D136" s="19" t="n"/>
      <c r="E136" s="19" t="n"/>
      <c r="F136" s="19" t="n"/>
      <c r="G136" s="40" t="n"/>
      <c r="H136" s="18" t="n"/>
      <c r="I136" s="40" t="n"/>
      <c r="J136" s="23">
        <f>IF($A136="","",IF($I136&lt;&gt;"","Closed — re-verified",IF($F136&lt;&gt;"","Fix applied — not re-verified","Open")))</f>
        <v/>
      </c>
    </row>
    <row r="137" ht="20" customHeight="1" s="42">
      <c r="A137" s="11" t="n"/>
      <c r="B137" s="39" t="n"/>
      <c r="C137" s="39" t="n"/>
      <c r="D137" s="11" t="n"/>
      <c r="E137" s="11" t="n"/>
      <c r="F137" s="11" t="n"/>
      <c r="G137" s="39" t="n"/>
      <c r="H137" s="10" t="n"/>
      <c r="I137" s="39" t="n"/>
      <c r="J137" s="15">
        <f>IF($A137="","",IF($I137&lt;&gt;"","Closed — re-verified",IF($F137&lt;&gt;"","Fix applied — not re-verified","Open")))</f>
        <v/>
      </c>
    </row>
    <row r="138" ht="20" customHeight="1" s="42">
      <c r="A138" s="19" t="n"/>
      <c r="B138" s="40" t="n"/>
      <c r="C138" s="40" t="n"/>
      <c r="D138" s="19" t="n"/>
      <c r="E138" s="19" t="n"/>
      <c r="F138" s="19" t="n"/>
      <c r="G138" s="40" t="n"/>
      <c r="H138" s="18" t="n"/>
      <c r="I138" s="40" t="n"/>
      <c r="J138" s="23">
        <f>IF($A138="","",IF($I138&lt;&gt;"","Closed — re-verified",IF($F138&lt;&gt;"","Fix applied — not re-verified","Open")))</f>
        <v/>
      </c>
    </row>
    <row r="139" ht="20" customHeight="1" s="42">
      <c r="A139" s="11" t="n"/>
      <c r="B139" s="39" t="n"/>
      <c r="C139" s="39" t="n"/>
      <c r="D139" s="11" t="n"/>
      <c r="E139" s="11" t="n"/>
      <c r="F139" s="11" t="n"/>
      <c r="G139" s="39" t="n"/>
      <c r="H139" s="10" t="n"/>
      <c r="I139" s="39" t="n"/>
      <c r="J139" s="15">
        <f>IF($A139="","",IF($I139&lt;&gt;"","Closed — re-verified",IF($F139&lt;&gt;"","Fix applied — not re-verified","Open")))</f>
        <v/>
      </c>
    </row>
    <row r="140" ht="20" customHeight="1" s="42">
      <c r="A140" s="19" t="n"/>
      <c r="B140" s="40" t="n"/>
      <c r="C140" s="40" t="n"/>
      <c r="D140" s="19" t="n"/>
      <c r="E140" s="19" t="n"/>
      <c r="F140" s="19" t="n"/>
      <c r="G140" s="40" t="n"/>
      <c r="H140" s="18" t="n"/>
      <c r="I140" s="40" t="n"/>
      <c r="J140" s="23">
        <f>IF($A140="","",IF($I140&lt;&gt;"","Closed — re-verified",IF($F140&lt;&gt;"","Fix applied — not re-verified","Open")))</f>
        <v/>
      </c>
    </row>
    <row r="141" ht="20" customHeight="1" s="42">
      <c r="A141" s="11" t="n"/>
      <c r="B141" s="39" t="n"/>
      <c r="C141" s="39" t="n"/>
      <c r="D141" s="11" t="n"/>
      <c r="E141" s="11" t="n"/>
      <c r="F141" s="11" t="n"/>
      <c r="G141" s="39" t="n"/>
      <c r="H141" s="10" t="n"/>
      <c r="I141" s="39" t="n"/>
      <c r="J141" s="15">
        <f>IF($A141="","",IF($I141&lt;&gt;"","Closed — re-verified",IF($F141&lt;&gt;"","Fix applied — not re-verified","Open")))</f>
        <v/>
      </c>
    </row>
    <row r="142" ht="20" customHeight="1" s="42">
      <c r="A142" s="19" t="n"/>
      <c r="B142" s="40" t="n"/>
      <c r="C142" s="40" t="n"/>
      <c r="D142" s="19" t="n"/>
      <c r="E142" s="19" t="n"/>
      <c r="F142" s="19" t="n"/>
      <c r="G142" s="40" t="n"/>
      <c r="H142" s="18" t="n"/>
      <c r="I142" s="40" t="n"/>
      <c r="J142" s="23">
        <f>IF($A142="","",IF($I142&lt;&gt;"","Closed — re-verified",IF($F142&lt;&gt;"","Fix applied — not re-verified","Open")))</f>
        <v/>
      </c>
    </row>
    <row r="143" ht="20" customHeight="1" s="42">
      <c r="A143" s="11" t="n"/>
      <c r="B143" s="39" t="n"/>
      <c r="C143" s="39" t="n"/>
      <c r="D143" s="11" t="n"/>
      <c r="E143" s="11" t="n"/>
      <c r="F143" s="11" t="n"/>
      <c r="G143" s="39" t="n"/>
      <c r="H143" s="10" t="n"/>
      <c r="I143" s="39" t="n"/>
      <c r="J143" s="15">
        <f>IF($A143="","",IF($I143&lt;&gt;"","Closed — re-verified",IF($F143&lt;&gt;"","Fix applied — not re-verified","Open")))</f>
        <v/>
      </c>
    </row>
    <row r="144" ht="20" customHeight="1" s="42">
      <c r="A144" s="19" t="n"/>
      <c r="B144" s="40" t="n"/>
      <c r="C144" s="40" t="n"/>
      <c r="D144" s="19" t="n"/>
      <c r="E144" s="19" t="n"/>
      <c r="F144" s="19" t="n"/>
      <c r="G144" s="40" t="n"/>
      <c r="H144" s="18" t="n"/>
      <c r="I144" s="40" t="n"/>
      <c r="J144" s="23">
        <f>IF($A144="","",IF($I144&lt;&gt;"","Closed — re-verified",IF($F144&lt;&gt;"","Fix applied — not re-verified","Open")))</f>
        <v/>
      </c>
    </row>
    <row r="145" ht="20" customHeight="1" s="42">
      <c r="A145" s="11" t="n"/>
      <c r="B145" s="39" t="n"/>
      <c r="C145" s="39" t="n"/>
      <c r="D145" s="11" t="n"/>
      <c r="E145" s="11" t="n"/>
      <c r="F145" s="11" t="n"/>
      <c r="G145" s="39" t="n"/>
      <c r="H145" s="10" t="n"/>
      <c r="I145" s="39" t="n"/>
      <c r="J145" s="15">
        <f>IF($A145="","",IF($I145&lt;&gt;"","Closed — re-verified",IF($F145&lt;&gt;"","Fix applied — not re-verified","Open")))</f>
        <v/>
      </c>
    </row>
    <row r="146" ht="20" customHeight="1" s="42">
      <c r="A146" s="19" t="n"/>
      <c r="B146" s="40" t="n"/>
      <c r="C146" s="40" t="n"/>
      <c r="D146" s="19" t="n"/>
      <c r="E146" s="19" t="n"/>
      <c r="F146" s="19" t="n"/>
      <c r="G146" s="40" t="n"/>
      <c r="H146" s="18" t="n"/>
      <c r="I146" s="40" t="n"/>
      <c r="J146" s="23">
        <f>IF($A146="","",IF($I146&lt;&gt;"","Closed — re-verified",IF($F146&lt;&gt;"","Fix applied — not re-verified","Open")))</f>
        <v/>
      </c>
    </row>
    <row r="147" ht="20" customHeight="1" s="42">
      <c r="A147" s="11" t="n"/>
      <c r="B147" s="39" t="n"/>
      <c r="C147" s="39" t="n"/>
      <c r="D147" s="11" t="n"/>
      <c r="E147" s="11" t="n"/>
      <c r="F147" s="11" t="n"/>
      <c r="G147" s="39" t="n"/>
      <c r="H147" s="10" t="n"/>
      <c r="I147" s="39" t="n"/>
      <c r="J147" s="15">
        <f>IF($A147="","",IF($I147&lt;&gt;"","Closed — re-verified",IF($F147&lt;&gt;"","Fix applied — not re-verified","Open")))</f>
        <v/>
      </c>
    </row>
    <row r="148" ht="20" customHeight="1" s="42">
      <c r="A148" s="19" t="n"/>
      <c r="B148" s="40" t="n"/>
      <c r="C148" s="40" t="n"/>
      <c r="D148" s="19" t="n"/>
      <c r="E148" s="19" t="n"/>
      <c r="F148" s="19" t="n"/>
      <c r="G148" s="40" t="n"/>
      <c r="H148" s="18" t="n"/>
      <c r="I148" s="40" t="n"/>
      <c r="J148" s="23">
        <f>IF($A148="","",IF($I148&lt;&gt;"","Closed — re-verified",IF($F148&lt;&gt;"","Fix applied — not re-verified","Open")))</f>
        <v/>
      </c>
    </row>
    <row r="149" ht="20" customHeight="1" s="42">
      <c r="A149" s="11" t="n"/>
      <c r="B149" s="39" t="n"/>
      <c r="C149" s="39" t="n"/>
      <c r="D149" s="11" t="n"/>
      <c r="E149" s="11" t="n"/>
      <c r="F149" s="11" t="n"/>
      <c r="G149" s="39" t="n"/>
      <c r="H149" s="10" t="n"/>
      <c r="I149" s="39" t="n"/>
      <c r="J149" s="15">
        <f>IF($A149="","",IF($I149&lt;&gt;"","Closed — re-verified",IF($F149&lt;&gt;"","Fix applied — not re-verified","Open")))</f>
        <v/>
      </c>
    </row>
    <row r="150" ht="20" customHeight="1" s="42">
      <c r="A150" s="19" t="n"/>
      <c r="B150" s="40" t="n"/>
      <c r="C150" s="40" t="n"/>
      <c r="D150" s="19" t="n"/>
      <c r="E150" s="19" t="n"/>
      <c r="F150" s="19" t="n"/>
      <c r="G150" s="40" t="n"/>
      <c r="H150" s="18" t="n"/>
      <c r="I150" s="40" t="n"/>
      <c r="J150" s="23">
        <f>IF($A150="","",IF($I150&lt;&gt;"","Closed — re-verified",IF($F150&lt;&gt;"","Fix applied — not re-verified","Open")))</f>
        <v/>
      </c>
    </row>
    <row r="151" ht="20" customHeight="1" s="42">
      <c r="A151" s="11" t="n"/>
      <c r="B151" s="39" t="n"/>
      <c r="C151" s="39" t="n"/>
      <c r="D151" s="11" t="n"/>
      <c r="E151" s="11" t="n"/>
      <c r="F151" s="11" t="n"/>
      <c r="G151" s="39" t="n"/>
      <c r="H151" s="10" t="n"/>
      <c r="I151" s="39" t="n"/>
      <c r="J151" s="15">
        <f>IF($A151="","",IF($I151&lt;&gt;"","Closed — re-verified",IF($F151&lt;&gt;"","Fix applied — not re-verified","Open")))</f>
        <v/>
      </c>
    </row>
    <row r="152" ht="20" customHeight="1" s="42">
      <c r="A152" s="19" t="n"/>
      <c r="B152" s="40" t="n"/>
      <c r="C152" s="40" t="n"/>
      <c r="D152" s="19" t="n"/>
      <c r="E152" s="19" t="n"/>
      <c r="F152" s="19" t="n"/>
      <c r="G152" s="40" t="n"/>
      <c r="H152" s="18" t="n"/>
      <c r="I152" s="40" t="n"/>
      <c r="J152" s="23">
        <f>IF($A152="","",IF($I152&lt;&gt;"","Closed — re-verified",IF($F152&lt;&gt;"","Fix applied — not re-verified","Open")))</f>
        <v/>
      </c>
    </row>
    <row r="153" ht="20" customHeight="1" s="42">
      <c r="A153" s="11" t="n"/>
      <c r="B153" s="39" t="n"/>
      <c r="C153" s="39" t="n"/>
      <c r="D153" s="11" t="n"/>
      <c r="E153" s="11" t="n"/>
      <c r="F153" s="11" t="n"/>
      <c r="G153" s="39" t="n"/>
      <c r="H153" s="10" t="n"/>
      <c r="I153" s="39" t="n"/>
      <c r="J153" s="15">
        <f>IF($A153="","",IF($I153&lt;&gt;"","Closed — re-verified",IF($F153&lt;&gt;"","Fix applied — not re-verified","Open")))</f>
        <v/>
      </c>
    </row>
    <row r="154" ht="20" customHeight="1" s="42">
      <c r="A154" s="19" t="n"/>
      <c r="B154" s="40" t="n"/>
      <c r="C154" s="40" t="n"/>
      <c r="D154" s="19" t="n"/>
      <c r="E154" s="19" t="n"/>
      <c r="F154" s="19" t="n"/>
      <c r="G154" s="40" t="n"/>
      <c r="H154" s="18" t="n"/>
      <c r="I154" s="40" t="n"/>
      <c r="J154" s="23">
        <f>IF($A154="","",IF($I154&lt;&gt;"","Closed — re-verified",IF($F154&lt;&gt;"","Fix applied — not re-verified","Open")))</f>
        <v/>
      </c>
    </row>
    <row r="155" ht="20" customHeight="1" s="42">
      <c r="A155" s="11" t="n"/>
      <c r="B155" s="39" t="n"/>
      <c r="C155" s="39" t="n"/>
      <c r="D155" s="11" t="n"/>
      <c r="E155" s="11" t="n"/>
      <c r="F155" s="11" t="n"/>
      <c r="G155" s="39" t="n"/>
      <c r="H155" s="10" t="n"/>
      <c r="I155" s="39" t="n"/>
      <c r="J155" s="15">
        <f>IF($A155="","",IF($I155&lt;&gt;"","Closed — re-verified",IF($F155&lt;&gt;"","Fix applied — not re-verified","Open")))</f>
        <v/>
      </c>
    </row>
    <row r="156" ht="20" customHeight="1" s="42">
      <c r="A156" s="19" t="n"/>
      <c r="B156" s="40" t="n"/>
      <c r="C156" s="40" t="n"/>
      <c r="D156" s="19" t="n"/>
      <c r="E156" s="19" t="n"/>
      <c r="F156" s="19" t="n"/>
      <c r="G156" s="40" t="n"/>
      <c r="H156" s="18" t="n"/>
      <c r="I156" s="40" t="n"/>
      <c r="J156" s="23">
        <f>IF($A156="","",IF($I156&lt;&gt;"","Closed — re-verified",IF($F156&lt;&gt;"","Fix applied — not re-verified","Open")))</f>
        <v/>
      </c>
    </row>
    <row r="157" ht="20" customHeight="1" s="42">
      <c r="A157" s="11" t="n"/>
      <c r="B157" s="39" t="n"/>
      <c r="C157" s="39" t="n"/>
      <c r="D157" s="11" t="n"/>
      <c r="E157" s="11" t="n"/>
      <c r="F157" s="11" t="n"/>
      <c r="G157" s="39" t="n"/>
      <c r="H157" s="10" t="n"/>
      <c r="I157" s="39" t="n"/>
      <c r="J157" s="15">
        <f>IF($A157="","",IF($I157&lt;&gt;"","Closed — re-verified",IF($F157&lt;&gt;"","Fix applied — not re-verified","Open")))</f>
        <v/>
      </c>
    </row>
    <row r="158" ht="20" customHeight="1" s="42">
      <c r="A158" s="19" t="n"/>
      <c r="B158" s="40" t="n"/>
      <c r="C158" s="40" t="n"/>
      <c r="D158" s="19" t="n"/>
      <c r="E158" s="19" t="n"/>
      <c r="F158" s="19" t="n"/>
      <c r="G158" s="40" t="n"/>
      <c r="H158" s="18" t="n"/>
      <c r="I158" s="40" t="n"/>
      <c r="J158" s="23">
        <f>IF($A158="","",IF($I158&lt;&gt;"","Closed — re-verified",IF($F158&lt;&gt;"","Fix applied — not re-verified","Open")))</f>
        <v/>
      </c>
    </row>
    <row r="159" ht="20" customHeight="1" s="42">
      <c r="A159" s="11" t="n"/>
      <c r="B159" s="39" t="n"/>
      <c r="C159" s="39" t="n"/>
      <c r="D159" s="11" t="n"/>
      <c r="E159" s="11" t="n"/>
      <c r="F159" s="11" t="n"/>
      <c r="G159" s="39" t="n"/>
      <c r="H159" s="10" t="n"/>
      <c r="I159" s="39" t="n"/>
      <c r="J159" s="15">
        <f>IF($A159="","",IF($I159&lt;&gt;"","Closed — re-verified",IF($F159&lt;&gt;"","Fix applied — not re-verified","Open")))</f>
        <v/>
      </c>
    </row>
    <row r="160" ht="20" customHeight="1" s="42">
      <c r="A160" s="19" t="n"/>
      <c r="B160" s="40" t="n"/>
      <c r="C160" s="40" t="n"/>
      <c r="D160" s="19" t="n"/>
      <c r="E160" s="19" t="n"/>
      <c r="F160" s="19" t="n"/>
      <c r="G160" s="40" t="n"/>
      <c r="H160" s="18" t="n"/>
      <c r="I160" s="40" t="n"/>
      <c r="J160" s="23">
        <f>IF($A160="","",IF($I160&lt;&gt;"","Closed — re-verified",IF($F160&lt;&gt;"","Fix applied — not re-verified","Open")))</f>
        <v/>
      </c>
    </row>
    <row r="161" ht="20" customHeight="1" s="42">
      <c r="A161" s="11" t="n"/>
      <c r="B161" s="39" t="n"/>
      <c r="C161" s="39" t="n"/>
      <c r="D161" s="11" t="n"/>
      <c r="E161" s="11" t="n"/>
      <c r="F161" s="11" t="n"/>
      <c r="G161" s="39" t="n"/>
      <c r="H161" s="10" t="n"/>
      <c r="I161" s="39" t="n"/>
      <c r="J161" s="15">
        <f>IF($A161="","",IF($I161&lt;&gt;"","Closed — re-verified",IF($F161&lt;&gt;"","Fix applied — not re-verified","Open")))</f>
        <v/>
      </c>
    </row>
    <row r="162" ht="20" customHeight="1" s="42">
      <c r="A162" s="19" t="n"/>
      <c r="B162" s="40" t="n"/>
      <c r="C162" s="40" t="n"/>
      <c r="D162" s="19" t="n"/>
      <c r="E162" s="19" t="n"/>
      <c r="F162" s="19" t="n"/>
      <c r="G162" s="40" t="n"/>
      <c r="H162" s="18" t="n"/>
      <c r="I162" s="40" t="n"/>
      <c r="J162" s="23">
        <f>IF($A162="","",IF($I162&lt;&gt;"","Closed — re-verified",IF($F162&lt;&gt;"","Fix applied — not re-verified","Open")))</f>
        <v/>
      </c>
    </row>
    <row r="163" ht="20" customHeight="1" s="42">
      <c r="A163" s="11" t="n"/>
      <c r="B163" s="39" t="n"/>
      <c r="C163" s="39" t="n"/>
      <c r="D163" s="11" t="n"/>
      <c r="E163" s="11" t="n"/>
      <c r="F163" s="11" t="n"/>
      <c r="G163" s="39" t="n"/>
      <c r="H163" s="10" t="n"/>
      <c r="I163" s="39" t="n"/>
      <c r="J163" s="15">
        <f>IF($A163="","",IF($I163&lt;&gt;"","Closed — re-verified",IF($F163&lt;&gt;"","Fix applied — not re-verified","Open")))</f>
        <v/>
      </c>
    </row>
    <row r="164" ht="20" customHeight="1" s="42">
      <c r="A164" s="19" t="n"/>
      <c r="B164" s="40" t="n"/>
      <c r="C164" s="40" t="n"/>
      <c r="D164" s="19" t="n"/>
      <c r="E164" s="19" t="n"/>
      <c r="F164" s="19" t="n"/>
      <c r="G164" s="40" t="n"/>
      <c r="H164" s="18" t="n"/>
      <c r="I164" s="40" t="n"/>
      <c r="J164" s="23">
        <f>IF($A164="","",IF($I164&lt;&gt;"","Closed — re-verified",IF($F164&lt;&gt;"","Fix applied — not re-verified","Open")))</f>
        <v/>
      </c>
    </row>
    <row r="165" ht="20" customHeight="1" s="42">
      <c r="A165" s="11" t="n"/>
      <c r="B165" s="39" t="n"/>
      <c r="C165" s="39" t="n"/>
      <c r="D165" s="11" t="n"/>
      <c r="E165" s="11" t="n"/>
      <c r="F165" s="11" t="n"/>
      <c r="G165" s="39" t="n"/>
      <c r="H165" s="10" t="n"/>
      <c r="I165" s="39" t="n"/>
      <c r="J165" s="15">
        <f>IF($A165="","",IF($I165&lt;&gt;"","Closed — re-verified",IF($F165&lt;&gt;"","Fix applied — not re-verified","Open")))</f>
        <v/>
      </c>
    </row>
    <row r="166" ht="20" customHeight="1" s="42">
      <c r="A166" s="19" t="n"/>
      <c r="B166" s="40" t="n"/>
      <c r="C166" s="40" t="n"/>
      <c r="D166" s="19" t="n"/>
      <c r="E166" s="19" t="n"/>
      <c r="F166" s="19" t="n"/>
      <c r="G166" s="40" t="n"/>
      <c r="H166" s="18" t="n"/>
      <c r="I166" s="40" t="n"/>
      <c r="J166" s="23">
        <f>IF($A166="","",IF($I166&lt;&gt;"","Closed — re-verified",IF($F166&lt;&gt;"","Fix applied — not re-verified","Open")))</f>
        <v/>
      </c>
    </row>
    <row r="167" ht="20" customHeight="1" s="42">
      <c r="A167" s="11" t="n"/>
      <c r="B167" s="39" t="n"/>
      <c r="C167" s="39" t="n"/>
      <c r="D167" s="11" t="n"/>
      <c r="E167" s="11" t="n"/>
      <c r="F167" s="11" t="n"/>
      <c r="G167" s="39" t="n"/>
      <c r="H167" s="10" t="n"/>
      <c r="I167" s="39" t="n"/>
      <c r="J167" s="15">
        <f>IF($A167="","",IF($I167&lt;&gt;"","Closed — re-verified",IF($F167&lt;&gt;"","Fix applied — not re-verified","Open")))</f>
        <v/>
      </c>
    </row>
    <row r="168" ht="20" customHeight="1" s="42">
      <c r="A168" s="19" t="n"/>
      <c r="B168" s="40" t="n"/>
      <c r="C168" s="40" t="n"/>
      <c r="D168" s="19" t="n"/>
      <c r="E168" s="19" t="n"/>
      <c r="F168" s="19" t="n"/>
      <c r="G168" s="40" t="n"/>
      <c r="H168" s="18" t="n"/>
      <c r="I168" s="40" t="n"/>
      <c r="J168" s="23">
        <f>IF($A168="","",IF($I168&lt;&gt;"","Closed — re-verified",IF($F168&lt;&gt;"","Fix applied — not re-verified","Open")))</f>
        <v/>
      </c>
    </row>
    <row r="169" ht="20" customHeight="1" s="42">
      <c r="A169" s="11" t="n"/>
      <c r="B169" s="39" t="n"/>
      <c r="C169" s="39" t="n"/>
      <c r="D169" s="11" t="n"/>
      <c r="E169" s="11" t="n"/>
      <c r="F169" s="11" t="n"/>
      <c r="G169" s="39" t="n"/>
      <c r="H169" s="10" t="n"/>
      <c r="I169" s="39" t="n"/>
      <c r="J169" s="15">
        <f>IF($A169="","",IF($I169&lt;&gt;"","Closed — re-verified",IF($F169&lt;&gt;"","Fix applied — not re-verified","Open")))</f>
        <v/>
      </c>
    </row>
    <row r="170" ht="20" customHeight="1" s="42">
      <c r="A170" s="19" t="n"/>
      <c r="B170" s="40" t="n"/>
      <c r="C170" s="40" t="n"/>
      <c r="D170" s="19" t="n"/>
      <c r="E170" s="19" t="n"/>
      <c r="F170" s="19" t="n"/>
      <c r="G170" s="40" t="n"/>
      <c r="H170" s="18" t="n"/>
      <c r="I170" s="40" t="n"/>
      <c r="J170" s="23">
        <f>IF($A170="","",IF($I170&lt;&gt;"","Closed — re-verified",IF($F170&lt;&gt;"","Fix applied — not re-verified","Open")))</f>
        <v/>
      </c>
    </row>
    <row r="171" ht="20" customHeight="1" s="42">
      <c r="A171" s="11" t="n"/>
      <c r="B171" s="39" t="n"/>
      <c r="C171" s="39" t="n"/>
      <c r="D171" s="11" t="n"/>
      <c r="E171" s="11" t="n"/>
      <c r="F171" s="11" t="n"/>
      <c r="G171" s="39" t="n"/>
      <c r="H171" s="10" t="n"/>
      <c r="I171" s="39" t="n"/>
      <c r="J171" s="15">
        <f>IF($A171="","",IF($I171&lt;&gt;"","Closed — re-verified",IF($F171&lt;&gt;"","Fix applied — not re-verified","Open")))</f>
        <v/>
      </c>
    </row>
    <row r="172" ht="20" customHeight="1" s="42">
      <c r="A172" s="19" t="n"/>
      <c r="B172" s="40" t="n"/>
      <c r="C172" s="40" t="n"/>
      <c r="D172" s="19" t="n"/>
      <c r="E172" s="19" t="n"/>
      <c r="F172" s="19" t="n"/>
      <c r="G172" s="40" t="n"/>
      <c r="H172" s="18" t="n"/>
      <c r="I172" s="40" t="n"/>
      <c r="J172" s="23">
        <f>IF($A172="","",IF($I172&lt;&gt;"","Closed — re-verified",IF($F172&lt;&gt;"","Fix applied — not re-verified","Open")))</f>
        <v/>
      </c>
    </row>
    <row r="173" ht="20" customHeight="1" s="42">
      <c r="A173" s="11" t="n"/>
      <c r="B173" s="39" t="n"/>
      <c r="C173" s="39" t="n"/>
      <c r="D173" s="11" t="n"/>
      <c r="E173" s="11" t="n"/>
      <c r="F173" s="11" t="n"/>
      <c r="G173" s="39" t="n"/>
      <c r="H173" s="10" t="n"/>
      <c r="I173" s="39" t="n"/>
      <c r="J173" s="15">
        <f>IF($A173="","",IF($I173&lt;&gt;"","Closed — re-verified",IF($F173&lt;&gt;"","Fix applied — not re-verified","Open")))</f>
        <v/>
      </c>
    </row>
    <row r="174" ht="20" customHeight="1" s="42">
      <c r="A174" s="19" t="n"/>
      <c r="B174" s="40" t="n"/>
      <c r="C174" s="40" t="n"/>
      <c r="D174" s="19" t="n"/>
      <c r="E174" s="19" t="n"/>
      <c r="F174" s="19" t="n"/>
      <c r="G174" s="40" t="n"/>
      <c r="H174" s="18" t="n"/>
      <c r="I174" s="40" t="n"/>
      <c r="J174" s="23">
        <f>IF($A174="","",IF($I174&lt;&gt;"","Closed — re-verified",IF($F174&lt;&gt;"","Fix applied — not re-verified","Open")))</f>
        <v/>
      </c>
    </row>
    <row r="175" ht="20" customHeight="1" s="42">
      <c r="A175" s="11" t="n"/>
      <c r="B175" s="39" t="n"/>
      <c r="C175" s="39" t="n"/>
      <c r="D175" s="11" t="n"/>
      <c r="E175" s="11" t="n"/>
      <c r="F175" s="11" t="n"/>
      <c r="G175" s="39" t="n"/>
      <c r="H175" s="10" t="n"/>
      <c r="I175" s="39" t="n"/>
      <c r="J175" s="15">
        <f>IF($A175="","",IF($I175&lt;&gt;"","Closed — re-verified",IF($F175&lt;&gt;"","Fix applied — not re-verified","Open")))</f>
        <v/>
      </c>
    </row>
    <row r="176" ht="20" customHeight="1" s="42">
      <c r="A176" s="19" t="n"/>
      <c r="B176" s="40" t="n"/>
      <c r="C176" s="40" t="n"/>
      <c r="D176" s="19" t="n"/>
      <c r="E176" s="19" t="n"/>
      <c r="F176" s="19" t="n"/>
      <c r="G176" s="40" t="n"/>
      <c r="H176" s="18" t="n"/>
      <c r="I176" s="40" t="n"/>
      <c r="J176" s="23">
        <f>IF($A176="","",IF($I176&lt;&gt;"","Closed — re-verified",IF($F176&lt;&gt;"","Fix applied — not re-verified","Open")))</f>
        <v/>
      </c>
    </row>
    <row r="177" ht="20" customHeight="1" s="42">
      <c r="A177" s="11" t="n"/>
      <c r="B177" s="39" t="n"/>
      <c r="C177" s="39" t="n"/>
      <c r="D177" s="11" t="n"/>
      <c r="E177" s="11" t="n"/>
      <c r="F177" s="11" t="n"/>
      <c r="G177" s="39" t="n"/>
      <c r="H177" s="10" t="n"/>
      <c r="I177" s="39" t="n"/>
      <c r="J177" s="15">
        <f>IF($A177="","",IF($I177&lt;&gt;"","Closed — re-verified",IF($F177&lt;&gt;"","Fix applied — not re-verified","Open")))</f>
        <v/>
      </c>
    </row>
    <row r="178" ht="20" customHeight="1" s="42">
      <c r="A178" s="19" t="n"/>
      <c r="B178" s="40" t="n"/>
      <c r="C178" s="40" t="n"/>
      <c r="D178" s="19" t="n"/>
      <c r="E178" s="19" t="n"/>
      <c r="F178" s="19" t="n"/>
      <c r="G178" s="40" t="n"/>
      <c r="H178" s="18" t="n"/>
      <c r="I178" s="40" t="n"/>
      <c r="J178" s="23">
        <f>IF($A178="","",IF($I178&lt;&gt;"","Closed — re-verified",IF($F178&lt;&gt;"","Fix applied — not re-verified","Open")))</f>
        <v/>
      </c>
    </row>
    <row r="179" ht="20" customHeight="1" s="42">
      <c r="A179" s="11" t="n"/>
      <c r="B179" s="39" t="n"/>
      <c r="C179" s="39" t="n"/>
      <c r="D179" s="11" t="n"/>
      <c r="E179" s="11" t="n"/>
      <c r="F179" s="11" t="n"/>
      <c r="G179" s="39" t="n"/>
      <c r="H179" s="10" t="n"/>
      <c r="I179" s="39" t="n"/>
      <c r="J179" s="15">
        <f>IF($A179="","",IF($I179&lt;&gt;"","Closed — re-verified",IF($F179&lt;&gt;"","Fix applied — not re-verified","Open")))</f>
        <v/>
      </c>
    </row>
    <row r="180" ht="20" customHeight="1" s="42">
      <c r="A180" s="19" t="n"/>
      <c r="B180" s="40" t="n"/>
      <c r="C180" s="40" t="n"/>
      <c r="D180" s="19" t="n"/>
      <c r="E180" s="19" t="n"/>
      <c r="F180" s="19" t="n"/>
      <c r="G180" s="40" t="n"/>
      <c r="H180" s="18" t="n"/>
      <c r="I180" s="40" t="n"/>
      <c r="J180" s="23">
        <f>IF($A180="","",IF($I180&lt;&gt;"","Closed — re-verified",IF($F180&lt;&gt;"","Fix applied — not re-verified","Open")))</f>
        <v/>
      </c>
    </row>
    <row r="181" ht="20" customHeight="1" s="42">
      <c r="A181" s="11" t="n"/>
      <c r="B181" s="39" t="n"/>
      <c r="C181" s="39" t="n"/>
      <c r="D181" s="11" t="n"/>
      <c r="E181" s="11" t="n"/>
      <c r="F181" s="11" t="n"/>
      <c r="G181" s="39" t="n"/>
      <c r="H181" s="10" t="n"/>
      <c r="I181" s="39" t="n"/>
      <c r="J181" s="15">
        <f>IF($A181="","",IF($I181&lt;&gt;"","Closed — re-verified",IF($F181&lt;&gt;"","Fix applied — not re-verified","Open")))</f>
        <v/>
      </c>
    </row>
    <row r="182" ht="20" customHeight="1" s="42">
      <c r="A182" s="19" t="n"/>
      <c r="B182" s="40" t="n"/>
      <c r="C182" s="40" t="n"/>
      <c r="D182" s="19" t="n"/>
      <c r="E182" s="19" t="n"/>
      <c r="F182" s="19" t="n"/>
      <c r="G182" s="40" t="n"/>
      <c r="H182" s="18" t="n"/>
      <c r="I182" s="40" t="n"/>
      <c r="J182" s="23">
        <f>IF($A182="","",IF($I182&lt;&gt;"","Closed — re-verified",IF($F182&lt;&gt;"","Fix applied — not re-verified","Open")))</f>
        <v/>
      </c>
    </row>
    <row r="183" ht="20" customHeight="1" s="42">
      <c r="A183" s="11" t="n"/>
      <c r="B183" s="39" t="n"/>
      <c r="C183" s="39" t="n"/>
      <c r="D183" s="11" t="n"/>
      <c r="E183" s="11" t="n"/>
      <c r="F183" s="11" t="n"/>
      <c r="G183" s="39" t="n"/>
      <c r="H183" s="10" t="n"/>
      <c r="I183" s="39" t="n"/>
      <c r="J183" s="15">
        <f>IF($A183="","",IF($I183&lt;&gt;"","Closed — re-verified",IF($F183&lt;&gt;"","Fix applied — not re-verified","Open")))</f>
        <v/>
      </c>
    </row>
    <row r="184" ht="20" customHeight="1" s="42">
      <c r="A184" s="19" t="n"/>
      <c r="B184" s="40" t="n"/>
      <c r="C184" s="40" t="n"/>
      <c r="D184" s="19" t="n"/>
      <c r="E184" s="19" t="n"/>
      <c r="F184" s="19" t="n"/>
      <c r="G184" s="40" t="n"/>
      <c r="H184" s="18" t="n"/>
      <c r="I184" s="40" t="n"/>
      <c r="J184" s="23">
        <f>IF($A184="","",IF($I184&lt;&gt;"","Closed — re-verified",IF($F184&lt;&gt;"","Fix applied — not re-verified","Open")))</f>
        <v/>
      </c>
    </row>
    <row r="185" ht="20" customHeight="1" s="42">
      <c r="A185" s="11" t="n"/>
      <c r="B185" s="39" t="n"/>
      <c r="C185" s="39" t="n"/>
      <c r="D185" s="11" t="n"/>
      <c r="E185" s="11" t="n"/>
      <c r="F185" s="11" t="n"/>
      <c r="G185" s="39" t="n"/>
      <c r="H185" s="10" t="n"/>
      <c r="I185" s="39" t="n"/>
      <c r="J185" s="15">
        <f>IF($A185="","",IF($I185&lt;&gt;"","Closed — re-verified",IF($F185&lt;&gt;"","Fix applied — not re-verified","Open")))</f>
        <v/>
      </c>
    </row>
    <row r="186" ht="20" customHeight="1" s="42">
      <c r="A186" s="19" t="n"/>
      <c r="B186" s="40" t="n"/>
      <c r="C186" s="40" t="n"/>
      <c r="D186" s="19" t="n"/>
      <c r="E186" s="19" t="n"/>
      <c r="F186" s="19" t="n"/>
      <c r="G186" s="40" t="n"/>
      <c r="H186" s="18" t="n"/>
      <c r="I186" s="40" t="n"/>
      <c r="J186" s="23">
        <f>IF($A186="","",IF($I186&lt;&gt;"","Closed — re-verified",IF($F186&lt;&gt;"","Fix applied — not re-verified","Open")))</f>
        <v/>
      </c>
    </row>
    <row r="187" ht="20" customHeight="1" s="42">
      <c r="A187" s="11" t="n"/>
      <c r="B187" s="39" t="n"/>
      <c r="C187" s="39" t="n"/>
      <c r="D187" s="11" t="n"/>
      <c r="E187" s="11" t="n"/>
      <c r="F187" s="11" t="n"/>
      <c r="G187" s="39" t="n"/>
      <c r="H187" s="10" t="n"/>
      <c r="I187" s="39" t="n"/>
      <c r="J187" s="15">
        <f>IF($A187="","",IF($I187&lt;&gt;"","Closed — re-verified",IF($F187&lt;&gt;"","Fix applied — not re-verified","Open")))</f>
        <v/>
      </c>
    </row>
    <row r="188" ht="20" customHeight="1" s="42">
      <c r="A188" s="19" t="n"/>
      <c r="B188" s="40" t="n"/>
      <c r="C188" s="40" t="n"/>
      <c r="D188" s="19" t="n"/>
      <c r="E188" s="19" t="n"/>
      <c r="F188" s="19" t="n"/>
      <c r="G188" s="40" t="n"/>
      <c r="H188" s="18" t="n"/>
      <c r="I188" s="40" t="n"/>
      <c r="J188" s="23">
        <f>IF($A188="","",IF($I188&lt;&gt;"","Closed — re-verified",IF($F188&lt;&gt;"","Fix applied — not re-verified","Open")))</f>
        <v/>
      </c>
    </row>
    <row r="189" ht="20" customHeight="1" s="42">
      <c r="A189" s="11" t="n"/>
      <c r="B189" s="39" t="n"/>
      <c r="C189" s="39" t="n"/>
      <c r="D189" s="11" t="n"/>
      <c r="E189" s="11" t="n"/>
      <c r="F189" s="11" t="n"/>
      <c r="G189" s="39" t="n"/>
      <c r="H189" s="10" t="n"/>
      <c r="I189" s="39" t="n"/>
      <c r="J189" s="15">
        <f>IF($A189="","",IF($I189&lt;&gt;"","Closed — re-verified",IF($F189&lt;&gt;"","Fix applied — not re-verified","Open")))</f>
        <v/>
      </c>
    </row>
    <row r="190" ht="20" customHeight="1" s="42">
      <c r="A190" s="19" t="n"/>
      <c r="B190" s="40" t="n"/>
      <c r="C190" s="40" t="n"/>
      <c r="D190" s="19" t="n"/>
      <c r="E190" s="19" t="n"/>
      <c r="F190" s="19" t="n"/>
      <c r="G190" s="40" t="n"/>
      <c r="H190" s="18" t="n"/>
      <c r="I190" s="40" t="n"/>
      <c r="J190" s="23">
        <f>IF($A190="","",IF($I190&lt;&gt;"","Closed — re-verified",IF($F190&lt;&gt;"","Fix applied — not re-verified","Open")))</f>
        <v/>
      </c>
    </row>
    <row r="191" ht="20" customHeight="1" s="42">
      <c r="A191" s="11" t="n"/>
      <c r="B191" s="39" t="n"/>
      <c r="C191" s="39" t="n"/>
      <c r="D191" s="11" t="n"/>
      <c r="E191" s="11" t="n"/>
      <c r="F191" s="11" t="n"/>
      <c r="G191" s="39" t="n"/>
      <c r="H191" s="10" t="n"/>
      <c r="I191" s="39" t="n"/>
      <c r="J191" s="15">
        <f>IF($A191="","",IF($I191&lt;&gt;"","Closed — re-verified",IF($F191&lt;&gt;"","Fix applied — not re-verified","Open")))</f>
        <v/>
      </c>
    </row>
    <row r="192" ht="20" customHeight="1" s="42">
      <c r="A192" s="19" t="n"/>
      <c r="B192" s="40" t="n"/>
      <c r="C192" s="40" t="n"/>
      <c r="D192" s="19" t="n"/>
      <c r="E192" s="19" t="n"/>
      <c r="F192" s="19" t="n"/>
      <c r="G192" s="40" t="n"/>
      <c r="H192" s="18" t="n"/>
      <c r="I192" s="40" t="n"/>
      <c r="J192" s="23">
        <f>IF($A192="","",IF($I192&lt;&gt;"","Closed — re-verified",IF($F192&lt;&gt;"","Fix applied — not re-verified","Open")))</f>
        <v/>
      </c>
    </row>
    <row r="193" ht="20" customHeight="1" s="42">
      <c r="A193" s="11" t="n"/>
      <c r="B193" s="39" t="n"/>
      <c r="C193" s="39" t="n"/>
      <c r="D193" s="11" t="n"/>
      <c r="E193" s="11" t="n"/>
      <c r="F193" s="11" t="n"/>
      <c r="G193" s="39" t="n"/>
      <c r="H193" s="10" t="n"/>
      <c r="I193" s="39" t="n"/>
      <c r="J193" s="15">
        <f>IF($A193="","",IF($I193&lt;&gt;"","Closed — re-verified",IF($F193&lt;&gt;"","Fix applied — not re-verified","Open")))</f>
        <v/>
      </c>
    </row>
    <row r="194" ht="20" customHeight="1" s="42">
      <c r="A194" s="19" t="n"/>
      <c r="B194" s="40" t="n"/>
      <c r="C194" s="40" t="n"/>
      <c r="D194" s="19" t="n"/>
      <c r="E194" s="19" t="n"/>
      <c r="F194" s="19" t="n"/>
      <c r="G194" s="40" t="n"/>
      <c r="H194" s="18" t="n"/>
      <c r="I194" s="40" t="n"/>
      <c r="J194" s="23">
        <f>IF($A194="","",IF($I194&lt;&gt;"","Closed — re-verified",IF($F194&lt;&gt;"","Fix applied — not re-verified","Open")))</f>
        <v/>
      </c>
    </row>
    <row r="195" ht="20" customHeight="1" s="42">
      <c r="A195" s="11" t="n"/>
      <c r="B195" s="39" t="n"/>
      <c r="C195" s="39" t="n"/>
      <c r="D195" s="11" t="n"/>
      <c r="E195" s="11" t="n"/>
      <c r="F195" s="11" t="n"/>
      <c r="G195" s="39" t="n"/>
      <c r="H195" s="10" t="n"/>
      <c r="I195" s="39" t="n"/>
      <c r="J195" s="15">
        <f>IF($A195="","",IF($I195&lt;&gt;"","Closed — re-verified",IF($F195&lt;&gt;"","Fix applied — not re-verified","Open")))</f>
        <v/>
      </c>
    </row>
    <row r="196" ht="20" customHeight="1" s="42">
      <c r="A196" s="19" t="n"/>
      <c r="B196" s="40" t="n"/>
      <c r="C196" s="40" t="n"/>
      <c r="D196" s="19" t="n"/>
      <c r="E196" s="19" t="n"/>
      <c r="F196" s="19" t="n"/>
      <c r="G196" s="40" t="n"/>
      <c r="H196" s="18" t="n"/>
      <c r="I196" s="40" t="n"/>
      <c r="J196" s="23">
        <f>IF($A196="","",IF($I196&lt;&gt;"","Closed — re-verified",IF($F196&lt;&gt;"","Fix applied — not re-verified","Open")))</f>
        <v/>
      </c>
    </row>
    <row r="197" ht="20" customHeight="1" s="42">
      <c r="A197" s="11" t="n"/>
      <c r="B197" s="39" t="n"/>
      <c r="C197" s="39" t="n"/>
      <c r="D197" s="11" t="n"/>
      <c r="E197" s="11" t="n"/>
      <c r="F197" s="11" t="n"/>
      <c r="G197" s="39" t="n"/>
      <c r="H197" s="10" t="n"/>
      <c r="I197" s="39" t="n"/>
      <c r="J197" s="15">
        <f>IF($A197="","",IF($I197&lt;&gt;"","Closed — re-verified",IF($F197&lt;&gt;"","Fix applied — not re-verified","Open")))</f>
        <v/>
      </c>
    </row>
    <row r="198" ht="20" customHeight="1" s="42">
      <c r="A198" s="19" t="n"/>
      <c r="B198" s="40" t="n"/>
      <c r="C198" s="40" t="n"/>
      <c r="D198" s="19" t="n"/>
      <c r="E198" s="19" t="n"/>
      <c r="F198" s="19" t="n"/>
      <c r="G198" s="40" t="n"/>
      <c r="H198" s="18" t="n"/>
      <c r="I198" s="40" t="n"/>
      <c r="J198" s="23">
        <f>IF($A198="","",IF($I198&lt;&gt;"","Closed — re-verified",IF($F198&lt;&gt;"","Fix applied — not re-verified","Open")))</f>
        <v/>
      </c>
    </row>
    <row r="199" ht="20" customHeight="1" s="42">
      <c r="A199" s="11" t="n"/>
      <c r="B199" s="39" t="n"/>
      <c r="C199" s="39" t="n"/>
      <c r="D199" s="11" t="n"/>
      <c r="E199" s="11" t="n"/>
      <c r="F199" s="11" t="n"/>
      <c r="G199" s="39" t="n"/>
      <c r="H199" s="10" t="n"/>
      <c r="I199" s="39" t="n"/>
      <c r="J199" s="15">
        <f>IF($A199="","",IF($I199&lt;&gt;"","Closed — re-verified",IF($F199&lt;&gt;"","Fix applied — not re-verified","Open")))</f>
        <v/>
      </c>
    </row>
    <row r="200" ht="20" customHeight="1" s="42">
      <c r="A200" s="19" t="n"/>
      <c r="B200" s="40" t="n"/>
      <c r="C200" s="40" t="n"/>
      <c r="D200" s="19" t="n"/>
      <c r="E200" s="19" t="n"/>
      <c r="F200" s="19" t="n"/>
      <c r="G200" s="40" t="n"/>
      <c r="H200" s="18" t="n"/>
      <c r="I200" s="40" t="n"/>
      <c r="J200" s="23">
        <f>IF($A200="","",IF($I200&lt;&gt;"","Closed — re-verified",IF($F200&lt;&gt;"","Fix applied — not re-verified","Open")))</f>
        <v/>
      </c>
    </row>
  </sheetData>
  <autoFilter ref="A4:J200"/>
  <mergeCells count="2">
    <mergeCell ref="A1:J1"/>
    <mergeCell ref="A2:J2"/>
  </mergeCells>
  <conditionalFormatting sqref="J5:J200">
    <cfRule type="expression" priority="1" dxfId="2">
      <formula>LEFT($J5,6)="Closed"</formula>
    </cfRule>
    <cfRule type="cellIs" priority="2" operator="equal" dxfId="1">
      <formula>"Open"</formula>
    </cfRule>
    <cfRule type="expression" priority="3" dxfId="0">
      <formula>LEFT($J5,3)="Fix"</formula>
    </cfRule>
  </conditionalFormatting>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2026-09-20T16:27:21Z</dcterms:created>
  <dcterms:modified xmlns:dcterms="http://purl.org/dc/terms/" xmlns:xsi="http://www.w3.org/2001/XMLSchema-instance" xsi:type="dcterms:W3CDTF">2026-09-22T23:07:59Z</dcterms:modified>
  <cp:lastModifiedBy>Evelyn Livant</cp:lastModifiedBy>
</cp:coreProperties>
</file>