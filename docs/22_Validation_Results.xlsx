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192.168.0.4\nas418j\evelyn\Claude\retail-sector-health\docs\"/>
    </mc:Choice>
  </mc:AlternateContent>
  <xr:revisionPtr revIDLastSave="0" documentId="13_ncr:1_{8096E67C-E333-4C16-81E3-D8673F768B9E}" xr6:coauthVersionLast="47" xr6:coauthVersionMax="47" xr10:uidLastSave="{00000000-0000-0000-0000-000000000000}"/>
  <bookViews>
    <workbookView xWindow="3040" yWindow="3620" windowWidth="34800" windowHeight="18440" xr2:uid="{00000000-000D-0000-FFFF-FFFF00000000}"/>
  </bookViews>
  <sheets>
    <sheet name="Sheet1" sheetId="6" r:id="rId1"/>
    <sheet name="How to Use" sheetId="1" r:id="rId2"/>
    <sheet name="Run Summary" sheetId="2" r:id="rId3"/>
    <sheet name="Check Results" sheetId="3" r:id="rId4"/>
    <sheet name="Check Catalog" sheetId="4" r:id="rId5"/>
    <sheet name="Failure Log" sheetId="5" r:id="rId6"/>
  </sheets>
  <definedNames>
    <definedName name="_xlnm._FilterDatabase" localSheetId="4" hidden="1">'Check Catalog'!$A$4:$H$21</definedName>
    <definedName name="_xlnm._FilterDatabase" localSheetId="3" hidden="1">'Check Results'!$A$4:$J$600</definedName>
    <definedName name="_xlnm._FilterDatabase" localSheetId="5" hidden="1">'Failure Log'!$A$4:$J$200</definedName>
    <definedName name="_xlnm._FilterDatabase" localSheetId="2" hidden="1">'Run Summary'!$A$4:$M$60</definedName>
    <definedName name="_xlnm.Print_Titles" localSheetId="4">'Check Catalog'!$1:$4</definedName>
    <definedName name="_xlnm.Print_Titles" localSheetId="3">'Check Results'!$1:$4</definedName>
    <definedName name="_xlnm.Print_Titles" localSheetId="5">'Failure Log'!$1:$4</definedName>
    <definedName name="_xlnm.Print_Titles" localSheetId="2">'Run Summary'!$1:$4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0" i="5" l="1"/>
  <c r="J199" i="5"/>
  <c r="J198" i="5"/>
  <c r="J197" i="5"/>
  <c r="J196" i="5"/>
  <c r="J195" i="5"/>
  <c r="J194" i="5"/>
  <c r="J193" i="5"/>
  <c r="J192" i="5"/>
  <c r="J191" i="5"/>
  <c r="J190" i="5"/>
  <c r="J189" i="5"/>
  <c r="J188" i="5"/>
  <c r="J187" i="5"/>
  <c r="J186" i="5"/>
  <c r="J185" i="5"/>
  <c r="J184" i="5"/>
  <c r="J183" i="5"/>
  <c r="J182" i="5"/>
  <c r="J181" i="5"/>
  <c r="J180" i="5"/>
  <c r="J179" i="5"/>
  <c r="J178" i="5"/>
  <c r="J177" i="5"/>
  <c r="J176" i="5"/>
  <c r="J175" i="5"/>
  <c r="J174" i="5"/>
  <c r="J173" i="5"/>
  <c r="J172" i="5"/>
  <c r="J171" i="5"/>
  <c r="J170" i="5"/>
  <c r="J169" i="5"/>
  <c r="J168" i="5"/>
  <c r="J167" i="5"/>
  <c r="J166" i="5"/>
  <c r="J165" i="5"/>
  <c r="J164" i="5"/>
  <c r="J163" i="5"/>
  <c r="J162" i="5"/>
  <c r="J161" i="5"/>
  <c r="J160" i="5"/>
  <c r="J159" i="5"/>
  <c r="J158" i="5"/>
  <c r="J157" i="5"/>
  <c r="J156" i="5"/>
  <c r="J155" i="5"/>
  <c r="J154" i="5"/>
  <c r="J153" i="5"/>
  <c r="J152" i="5"/>
  <c r="J151" i="5"/>
  <c r="J150" i="5"/>
  <c r="J149" i="5"/>
  <c r="J148" i="5"/>
  <c r="J147" i="5"/>
  <c r="J146" i="5"/>
  <c r="J145" i="5"/>
  <c r="J144" i="5"/>
  <c r="J143" i="5"/>
  <c r="J142" i="5"/>
  <c r="J141" i="5"/>
  <c r="J140" i="5"/>
  <c r="J139" i="5"/>
  <c r="J138" i="5"/>
  <c r="J137" i="5"/>
  <c r="J136" i="5"/>
  <c r="J135" i="5"/>
  <c r="J134" i="5"/>
  <c r="J133" i="5"/>
  <c r="J132" i="5"/>
  <c r="J131" i="5"/>
  <c r="J130" i="5"/>
  <c r="J129" i="5"/>
  <c r="J128" i="5"/>
  <c r="J127" i="5"/>
  <c r="J126" i="5"/>
  <c r="J125" i="5"/>
  <c r="J124" i="5"/>
  <c r="J123" i="5"/>
  <c r="J122" i="5"/>
  <c r="J121" i="5"/>
  <c r="J120" i="5"/>
  <c r="J119" i="5"/>
  <c r="J118" i="5"/>
  <c r="J117" i="5"/>
  <c r="J116" i="5"/>
  <c r="J115" i="5"/>
  <c r="J114" i="5"/>
  <c r="J113" i="5"/>
  <c r="J112" i="5"/>
  <c r="J111" i="5"/>
  <c r="J110" i="5"/>
  <c r="J109" i="5"/>
  <c r="J108" i="5"/>
  <c r="J107" i="5"/>
  <c r="J106" i="5"/>
  <c r="J105" i="5"/>
  <c r="J104" i="5"/>
  <c r="J103" i="5"/>
  <c r="J102" i="5"/>
  <c r="J101" i="5"/>
  <c r="J100" i="5"/>
  <c r="J99" i="5"/>
  <c r="J98" i="5"/>
  <c r="J97" i="5"/>
  <c r="J96" i="5"/>
  <c r="J95" i="5"/>
  <c r="J94" i="5"/>
  <c r="J93" i="5"/>
  <c r="J92" i="5"/>
  <c r="J91" i="5"/>
  <c r="J90" i="5"/>
  <c r="J89" i="5"/>
  <c r="J88" i="5"/>
  <c r="J87" i="5"/>
  <c r="J86" i="5"/>
  <c r="J85" i="5"/>
  <c r="J84" i="5"/>
  <c r="J83" i="5"/>
  <c r="J82" i="5"/>
  <c r="J81" i="5"/>
  <c r="J80" i="5"/>
  <c r="J79" i="5"/>
  <c r="J78" i="5"/>
  <c r="J77" i="5"/>
  <c r="J76" i="5"/>
  <c r="J75" i="5"/>
  <c r="J74" i="5"/>
  <c r="J73" i="5"/>
  <c r="J72" i="5"/>
  <c r="J71" i="5"/>
  <c r="J70" i="5"/>
  <c r="J69" i="5"/>
  <c r="J68" i="5"/>
  <c r="J67" i="5"/>
  <c r="J66" i="5"/>
  <c r="J65" i="5"/>
  <c r="J64" i="5"/>
  <c r="J63" i="5"/>
  <c r="J62" i="5"/>
  <c r="J61" i="5"/>
  <c r="J60" i="5"/>
  <c r="J59" i="5"/>
  <c r="J58" i="5"/>
  <c r="J57" i="5"/>
  <c r="J56" i="5"/>
  <c r="J55" i="5"/>
  <c r="J54" i="5"/>
  <c r="J53" i="5"/>
  <c r="J52" i="5"/>
  <c r="J51" i="5"/>
  <c r="J50" i="5"/>
  <c r="J49" i="5"/>
  <c r="J48" i="5"/>
  <c r="J47" i="5"/>
  <c r="J46" i="5"/>
  <c r="J45" i="5"/>
  <c r="J44" i="5"/>
  <c r="J43" i="5"/>
  <c r="J42" i="5"/>
  <c r="J41" i="5"/>
  <c r="J40" i="5"/>
  <c r="J39" i="5"/>
  <c r="J38" i="5"/>
  <c r="J37" i="5"/>
  <c r="J36" i="5"/>
  <c r="J35" i="5"/>
  <c r="J34" i="5"/>
  <c r="J33" i="5"/>
  <c r="J32" i="5"/>
  <c r="J31" i="5"/>
  <c r="J30" i="5"/>
  <c r="J29" i="5"/>
  <c r="J28" i="5"/>
  <c r="J27" i="5"/>
  <c r="J26" i="5"/>
  <c r="J25" i="5"/>
  <c r="J24" i="5"/>
  <c r="J23" i="5"/>
  <c r="J22" i="5"/>
  <c r="J21" i="5"/>
  <c r="J20" i="5"/>
  <c r="J19" i="5"/>
  <c r="J18" i="5"/>
  <c r="J17" i="5"/>
  <c r="J16" i="5"/>
  <c r="J15" i="5"/>
  <c r="J14" i="5"/>
  <c r="J13" i="5"/>
  <c r="J12" i="5"/>
  <c r="J11" i="5"/>
  <c r="J10" i="5"/>
  <c r="J9" i="5"/>
  <c r="J8" i="5"/>
  <c r="J7" i="5"/>
  <c r="J6" i="5"/>
  <c r="J5" i="5"/>
  <c r="L60" i="2"/>
  <c r="K60" i="2"/>
  <c r="J60" i="2"/>
  <c r="I60" i="2"/>
  <c r="H60" i="2"/>
  <c r="G60" i="2"/>
  <c r="F60" i="2"/>
  <c r="L59" i="2"/>
  <c r="K59" i="2"/>
  <c r="J59" i="2"/>
  <c r="I59" i="2"/>
  <c r="H59" i="2"/>
  <c r="G59" i="2"/>
  <c r="F59" i="2"/>
  <c r="L58" i="2"/>
  <c r="K58" i="2"/>
  <c r="J58" i="2"/>
  <c r="I58" i="2"/>
  <c r="H58" i="2"/>
  <c r="G58" i="2"/>
  <c r="F58" i="2"/>
  <c r="L57" i="2"/>
  <c r="K57" i="2"/>
  <c r="J57" i="2"/>
  <c r="I57" i="2"/>
  <c r="H57" i="2"/>
  <c r="G57" i="2"/>
  <c r="F57" i="2"/>
  <c r="L56" i="2"/>
  <c r="K56" i="2"/>
  <c r="J56" i="2"/>
  <c r="I56" i="2"/>
  <c r="H56" i="2"/>
  <c r="G56" i="2"/>
  <c r="F56" i="2"/>
  <c r="L55" i="2"/>
  <c r="K55" i="2"/>
  <c r="J55" i="2"/>
  <c r="I55" i="2"/>
  <c r="H55" i="2"/>
  <c r="G55" i="2"/>
  <c r="F55" i="2"/>
  <c r="L54" i="2"/>
  <c r="K54" i="2"/>
  <c r="J54" i="2"/>
  <c r="I54" i="2"/>
  <c r="H54" i="2"/>
  <c r="G54" i="2"/>
  <c r="F54" i="2"/>
  <c r="L53" i="2"/>
  <c r="K53" i="2"/>
  <c r="J53" i="2"/>
  <c r="I53" i="2"/>
  <c r="H53" i="2"/>
  <c r="G53" i="2"/>
  <c r="F53" i="2"/>
  <c r="L52" i="2"/>
  <c r="K52" i="2"/>
  <c r="J52" i="2"/>
  <c r="I52" i="2"/>
  <c r="H52" i="2"/>
  <c r="G52" i="2"/>
  <c r="F52" i="2"/>
  <c r="L51" i="2"/>
  <c r="K51" i="2"/>
  <c r="J51" i="2"/>
  <c r="I51" i="2"/>
  <c r="H51" i="2"/>
  <c r="G51" i="2"/>
  <c r="F51" i="2"/>
  <c r="L50" i="2"/>
  <c r="K50" i="2"/>
  <c r="J50" i="2"/>
  <c r="I50" i="2"/>
  <c r="H50" i="2"/>
  <c r="G50" i="2"/>
  <c r="F50" i="2"/>
  <c r="L49" i="2"/>
  <c r="K49" i="2"/>
  <c r="J49" i="2"/>
  <c r="I49" i="2"/>
  <c r="H49" i="2"/>
  <c r="G49" i="2"/>
  <c r="F49" i="2"/>
  <c r="L48" i="2"/>
  <c r="K48" i="2"/>
  <c r="J48" i="2"/>
  <c r="I48" i="2"/>
  <c r="H48" i="2"/>
  <c r="G48" i="2"/>
  <c r="F48" i="2"/>
  <c r="L47" i="2"/>
  <c r="K47" i="2"/>
  <c r="J47" i="2"/>
  <c r="I47" i="2"/>
  <c r="H47" i="2"/>
  <c r="G47" i="2"/>
  <c r="F47" i="2"/>
  <c r="L46" i="2"/>
  <c r="K46" i="2"/>
  <c r="J46" i="2"/>
  <c r="I46" i="2"/>
  <c r="H46" i="2"/>
  <c r="G46" i="2"/>
  <c r="F46" i="2"/>
  <c r="L45" i="2"/>
  <c r="K45" i="2"/>
  <c r="J45" i="2"/>
  <c r="I45" i="2"/>
  <c r="H45" i="2"/>
  <c r="G45" i="2"/>
  <c r="F45" i="2"/>
  <c r="L44" i="2"/>
  <c r="K44" i="2"/>
  <c r="J44" i="2"/>
  <c r="I44" i="2"/>
  <c r="H44" i="2"/>
  <c r="G44" i="2"/>
  <c r="F44" i="2"/>
  <c r="L43" i="2"/>
  <c r="K43" i="2"/>
  <c r="J43" i="2"/>
  <c r="I43" i="2"/>
  <c r="H43" i="2"/>
  <c r="G43" i="2"/>
  <c r="F43" i="2"/>
  <c r="L42" i="2"/>
  <c r="K42" i="2"/>
  <c r="J42" i="2"/>
  <c r="I42" i="2"/>
  <c r="H42" i="2"/>
  <c r="G42" i="2"/>
  <c r="F42" i="2"/>
  <c r="L41" i="2"/>
  <c r="K41" i="2"/>
  <c r="J41" i="2"/>
  <c r="I41" i="2"/>
  <c r="H41" i="2"/>
  <c r="G41" i="2"/>
  <c r="F41" i="2"/>
  <c r="L40" i="2"/>
  <c r="K40" i="2"/>
  <c r="J40" i="2"/>
  <c r="I40" i="2"/>
  <c r="H40" i="2"/>
  <c r="G40" i="2"/>
  <c r="F40" i="2"/>
  <c r="L39" i="2"/>
  <c r="K39" i="2"/>
  <c r="J39" i="2"/>
  <c r="I39" i="2"/>
  <c r="H39" i="2"/>
  <c r="G39" i="2"/>
  <c r="F39" i="2"/>
  <c r="L38" i="2"/>
  <c r="K38" i="2"/>
  <c r="J38" i="2"/>
  <c r="I38" i="2"/>
  <c r="H38" i="2"/>
  <c r="G38" i="2"/>
  <c r="F38" i="2"/>
  <c r="L37" i="2"/>
  <c r="K37" i="2"/>
  <c r="J37" i="2"/>
  <c r="I37" i="2"/>
  <c r="H37" i="2"/>
  <c r="G37" i="2"/>
  <c r="F37" i="2"/>
  <c r="L36" i="2"/>
  <c r="K36" i="2"/>
  <c r="J36" i="2"/>
  <c r="I36" i="2"/>
  <c r="H36" i="2"/>
  <c r="G36" i="2"/>
  <c r="F36" i="2"/>
  <c r="L35" i="2"/>
  <c r="K35" i="2"/>
  <c r="J35" i="2"/>
  <c r="I35" i="2"/>
  <c r="H35" i="2"/>
  <c r="G35" i="2"/>
  <c r="F35" i="2"/>
  <c r="L34" i="2"/>
  <c r="K34" i="2"/>
  <c r="J34" i="2"/>
  <c r="I34" i="2"/>
  <c r="H34" i="2"/>
  <c r="G34" i="2"/>
  <c r="F34" i="2"/>
  <c r="L33" i="2"/>
  <c r="K33" i="2"/>
  <c r="J33" i="2"/>
  <c r="I33" i="2"/>
  <c r="H33" i="2"/>
  <c r="G33" i="2"/>
  <c r="F33" i="2"/>
  <c r="L32" i="2"/>
  <c r="K32" i="2"/>
  <c r="J32" i="2"/>
  <c r="I32" i="2"/>
  <c r="H32" i="2"/>
  <c r="G32" i="2"/>
  <c r="F32" i="2"/>
  <c r="L31" i="2"/>
  <c r="K31" i="2"/>
  <c r="J31" i="2"/>
  <c r="I31" i="2"/>
  <c r="H31" i="2"/>
  <c r="G31" i="2"/>
  <c r="F31" i="2"/>
  <c r="L30" i="2"/>
  <c r="K30" i="2"/>
  <c r="J30" i="2"/>
  <c r="I30" i="2"/>
  <c r="H30" i="2"/>
  <c r="G30" i="2"/>
  <c r="F30" i="2"/>
  <c r="L29" i="2"/>
  <c r="K29" i="2"/>
  <c r="J29" i="2"/>
  <c r="I29" i="2"/>
  <c r="H29" i="2"/>
  <c r="G29" i="2"/>
  <c r="F29" i="2"/>
  <c r="L28" i="2"/>
  <c r="K28" i="2"/>
  <c r="J28" i="2"/>
  <c r="I28" i="2"/>
  <c r="H28" i="2"/>
  <c r="G28" i="2"/>
  <c r="F28" i="2"/>
  <c r="L27" i="2"/>
  <c r="K27" i="2"/>
  <c r="J27" i="2"/>
  <c r="I27" i="2"/>
  <c r="H27" i="2"/>
  <c r="G27" i="2"/>
  <c r="F27" i="2"/>
  <c r="L26" i="2"/>
  <c r="K26" i="2"/>
  <c r="J26" i="2"/>
  <c r="I26" i="2"/>
  <c r="H26" i="2"/>
  <c r="G26" i="2"/>
  <c r="F26" i="2"/>
  <c r="L25" i="2"/>
  <c r="K25" i="2"/>
  <c r="J25" i="2"/>
  <c r="I25" i="2"/>
  <c r="H25" i="2"/>
  <c r="G25" i="2"/>
  <c r="F25" i="2"/>
  <c r="L24" i="2"/>
  <c r="K24" i="2"/>
  <c r="J24" i="2"/>
  <c r="I24" i="2"/>
  <c r="H24" i="2"/>
  <c r="G24" i="2"/>
  <c r="F24" i="2"/>
  <c r="L23" i="2"/>
  <c r="K23" i="2"/>
  <c r="J23" i="2"/>
  <c r="I23" i="2"/>
  <c r="H23" i="2"/>
  <c r="G23" i="2"/>
  <c r="F23" i="2"/>
  <c r="L22" i="2"/>
  <c r="K22" i="2"/>
  <c r="J22" i="2"/>
  <c r="I22" i="2"/>
  <c r="H22" i="2"/>
  <c r="G22" i="2"/>
  <c r="F22" i="2"/>
  <c r="L21" i="2"/>
  <c r="K21" i="2"/>
  <c r="J21" i="2"/>
  <c r="I21" i="2"/>
  <c r="H21" i="2"/>
  <c r="G21" i="2"/>
  <c r="F21" i="2"/>
  <c r="L20" i="2"/>
  <c r="K20" i="2"/>
  <c r="J20" i="2"/>
  <c r="I20" i="2"/>
  <c r="H20" i="2"/>
  <c r="G20" i="2"/>
  <c r="F20" i="2"/>
  <c r="L19" i="2"/>
  <c r="K19" i="2"/>
  <c r="J19" i="2"/>
  <c r="I19" i="2"/>
  <c r="H19" i="2"/>
  <c r="G19" i="2"/>
  <c r="F19" i="2"/>
  <c r="L18" i="2"/>
  <c r="K18" i="2"/>
  <c r="J18" i="2"/>
  <c r="I18" i="2"/>
  <c r="H18" i="2"/>
  <c r="G18" i="2"/>
  <c r="F18" i="2"/>
  <c r="L17" i="2"/>
  <c r="K17" i="2"/>
  <c r="J17" i="2"/>
  <c r="I17" i="2"/>
  <c r="H17" i="2"/>
  <c r="G17" i="2"/>
  <c r="F17" i="2"/>
  <c r="L16" i="2"/>
  <c r="K16" i="2"/>
  <c r="J16" i="2"/>
  <c r="I16" i="2"/>
  <c r="H16" i="2"/>
  <c r="G16" i="2"/>
  <c r="F16" i="2"/>
  <c r="L15" i="2"/>
  <c r="K15" i="2"/>
  <c r="J15" i="2"/>
  <c r="I15" i="2"/>
  <c r="H15" i="2"/>
  <c r="G15" i="2"/>
  <c r="F15" i="2"/>
  <c r="L14" i="2"/>
  <c r="K14" i="2"/>
  <c r="J14" i="2"/>
  <c r="I14" i="2"/>
  <c r="H14" i="2"/>
  <c r="G14" i="2"/>
  <c r="F14" i="2"/>
  <c r="L13" i="2"/>
  <c r="K13" i="2"/>
  <c r="J13" i="2"/>
  <c r="I13" i="2"/>
  <c r="H13" i="2"/>
  <c r="G13" i="2"/>
  <c r="F13" i="2"/>
  <c r="L12" i="2"/>
  <c r="K12" i="2"/>
  <c r="J12" i="2"/>
  <c r="I12" i="2"/>
  <c r="H12" i="2"/>
  <c r="G12" i="2"/>
  <c r="F12" i="2"/>
  <c r="L11" i="2"/>
  <c r="K11" i="2"/>
  <c r="J11" i="2"/>
  <c r="I11" i="2"/>
  <c r="H11" i="2"/>
  <c r="G11" i="2"/>
  <c r="F11" i="2"/>
  <c r="L10" i="2"/>
  <c r="K10" i="2"/>
  <c r="J10" i="2"/>
  <c r="I10" i="2"/>
  <c r="H10" i="2"/>
  <c r="G10" i="2"/>
  <c r="F10" i="2"/>
  <c r="L9" i="2"/>
  <c r="K9" i="2"/>
  <c r="J9" i="2"/>
  <c r="I9" i="2"/>
  <c r="H9" i="2"/>
  <c r="G9" i="2"/>
  <c r="F9" i="2"/>
  <c r="L8" i="2"/>
  <c r="K8" i="2"/>
  <c r="J8" i="2"/>
  <c r="I8" i="2"/>
  <c r="H8" i="2"/>
  <c r="G8" i="2"/>
  <c r="F8" i="2"/>
  <c r="L7" i="2"/>
  <c r="K7" i="2"/>
  <c r="J7" i="2"/>
  <c r="I7" i="2"/>
  <c r="H7" i="2"/>
  <c r="G7" i="2"/>
  <c r="F7" i="2"/>
  <c r="L6" i="2"/>
  <c r="K6" i="2"/>
  <c r="J6" i="2"/>
  <c r="I6" i="2"/>
  <c r="H6" i="2"/>
  <c r="G6" i="2"/>
  <c r="F6" i="2"/>
  <c r="J5" i="2"/>
  <c r="L5" i="2" s="1"/>
  <c r="I5" i="2"/>
  <c r="H5" i="2"/>
  <c r="G5" i="2"/>
  <c r="K5" i="2" s="1"/>
  <c r="F5" i="2"/>
</calcChain>
</file>

<file path=xl/sharedStrings.xml><?xml version="1.0" encoding="utf-8"?>
<sst xmlns="http://schemas.openxmlformats.org/spreadsheetml/2006/main" count="328" uniqueCount="191">
  <si>
    <t>Document 22 — Validation and QA Results</t>
  </si>
  <si>
    <t>How to use this workbook. It is the record of the seventeen pre-publication checks defined in document 02 §9, run once before publishing and again after every fact-table reload. It replaces the docs/validation_results.md that documents 02 §9 and 21 Phase 6 used to point at. Recording a run here is Phase 6 of the development checklist, document 21.</t>
  </si>
  <si>
    <t>THE FOUR TABS</t>
  </si>
  <si>
    <t>Tab</t>
  </si>
  <si>
    <t>What it is for</t>
  </si>
  <si>
    <t>Check Catalog</t>
  </si>
  <si>
    <t>Reference. The seventeen checks, each with the pass criterion, what it protects against, where it runs, how to run it, its severity, and whether it has to be repeated after a fact-table reload. You read this tab; you do not fill it in.</t>
  </si>
  <si>
    <t>Check Results</t>
  </si>
  <si>
    <t>The working sheet. One row per check, per run. This is the only tab that needs typing during a run. Run 1's seventeen rows are already there.</t>
  </si>
  <si>
    <t>Run Summary</t>
  </si>
  <si>
    <t>One row per run. You type five cells; the eight columns from Checks recorded to Outcome are formulas that read Check Results.</t>
  </si>
  <si>
    <t>Failure Log</t>
  </si>
  <si>
    <t>One row for every check recorded as Fail: what was seen, why, what was done, and the run that re-verified it. Status is a formula.</t>
  </si>
  <si>
    <t>RECORDING A RUN</t>
  </si>
  <si>
    <t>On Run Summary, fill in the row for this run: Run ID, Date, Trigger (dropdown), the model or commit reference the run was made against, and Run by. Leave everything from Checks recorded rightwards alone.</t>
  </si>
  <si>
    <t>Open Check Catalog and work down the seventeen in order. Each row tells you where the check runs and the exact query, visual or pane to look at.</t>
  </si>
  <si>
    <t>For each check, go to Check Results and complete four cells on that check's row: Result (dropdown: Pass, Fail, N/A, Not run), Observed value / evidence, Checked by and Date checked.</t>
  </si>
  <si>
    <t>Put a number in Observed value, not a tick. “330,080 staged / 330,080 loaded” is a record; “looks fine” is not. For a check with no number, name what you inspected — “all 11 R1 visuals, axis labels confirmed Cases”.</t>
  </si>
  <si>
    <t>Return to Run Summary. The counts and the Outcome update themselves. The run is finished when Checks recorded reads 17 and Outcome reads PASS.</t>
  </si>
  <si>
    <t>WHAT THE OUTCOME COLUMN MEANS</t>
  </si>
  <si>
    <t>PASS</t>
  </si>
  <si>
    <t>All seventeen recorded, no failures. Publishing is clear.</t>
  </si>
  <si>
    <t>BLOCKED</t>
  </si>
  <si>
    <t>At least one check with severity Blocking failed. Do not publish. Log it on Failure Log and fix it before the next run.</t>
  </si>
  <si>
    <t>PASSED WITH FAILURES</t>
  </si>
  <si>
    <t>Something failed, but only Advisory checks — 3, 10 and 11, the three document 02 phrases as “document what you find” rather than a pass mark. Publishing is a judgement call, and the Failure Log entry is what makes it a documented one.</t>
  </si>
  <si>
    <t>INCOMPLETE</t>
  </si>
  <si>
    <t>Fewer than seventeen results recorded; the cell says how many are missing. A partial run is never a pass.</t>
  </si>
  <si>
    <t>STARTING A NEW RUN</t>
  </si>
  <si>
    <t>Doc 21 Phase 6 requires the suite to be re-run after any fact-table reload. Eleven of the seventeen are data-dependent — the Check Catalog tab marks which. Re-run all seventeen anyway unless you are short of time; the six structural checks cost minutes.</t>
  </si>
  <si>
    <t>On Check Results, select the seventeen rows of the most recent run and copy them.</t>
  </si>
  <si>
    <t>Paste them into the first empty row underneath. The formatting, the dropdowns and the conditional colours come with them.</t>
  </si>
  <si>
    <t>Change Run ID on all seventeen pasted rows to the new run, then clear Result, Observed value, Checked by and Date. Leave the Check, Pass criterion and Severity columns untouched.</t>
  </si>
  <si>
    <t>Add the new run's row on Run Summary. Copy the row above it so the formulas come with it, then change the Run ID — the formulas key on it.</t>
  </si>
  <si>
    <t>WHEN A CHECK FAILS</t>
  </si>
  <si>
    <t>Record it as Fail on Check Results with the observed value. Do not blank it out and do not change it to N/A — a failure that was fixed is a better record than a failure that was erased.</t>
  </si>
  <si>
    <t>Add a row to Failure Log: a Failure ID of your own (F-001, F-002), the Run ID, the check number, what was observed and the root cause.</t>
  </si>
  <si>
    <t>Fix it, then fill in Fix applied, Fixed by and Date fixed. Status moves to “Fix applied — not re-verified” on its own.</t>
  </si>
  <si>
    <t>Re-run that check in a later run. When it passes, put that run's ID in Re-verified in run. Status becomes “Closed — re-verified”. An open blocking failure is a reason not to publish.</t>
  </si>
  <si>
    <t>RULES</t>
  </si>
  <si>
    <t>•</t>
  </si>
  <si>
    <t>Do not reword the Check or Pass criterion columns. They are quoted from document 02 §9. If a check genuinely needs to change, change it in document 02 and on the Check Catalog tab together, never in one place only.</t>
  </si>
  <si>
    <t>N/A needs a reason in Notes. A check that does not apply to this run is a decision; a check that was skipped is not. If it was skipped, leave it as Not run so the Outcome reads INCOMPLETE.</t>
  </si>
  <si>
    <t>Never type over a formula cell. They are listed below.</t>
  </si>
  <si>
    <t>Run ID has to match exactly between the two tabs — “Run 2” on Run Summary and “Run 2” on Check Results. A trailing space makes the counts read zero.</t>
  </si>
  <si>
    <t>Check 8, cases versus dollars, is the one that matters most. Run it last and run it slowly.</t>
  </si>
  <si>
    <t>FORMULA CELLS — DO NOT TYPE OVER THESE</t>
  </si>
  <si>
    <t>Run Summary  F:K</t>
  </si>
  <si>
    <t>Checks recorded, Pass, Fail, N/A, Blocking failures and % Pass. COUNTIFS against Check Results rows 5 to 600, keyed on Run ID.</t>
  </si>
  <si>
    <t>Run Summary  L</t>
  </si>
  <si>
    <t>Outcome. Reads BLOCKED, PASSED WITH FAILURES, INCOMPLETE or PASS from the counts to its left.</t>
  </si>
  <si>
    <t>Failure Log  J</t>
  </si>
  <si>
    <t>Status. Open → Fix applied → Closed, driven by the Fix applied and Re-verified in run columns.</t>
  </si>
  <si>
    <t>Rows 5 to 600 on Check Results and 5 to 60 on Run Summary are already formatted and formula-bearing. Adding a run inside that range needs no repair. Past it, copy an existing row rather than typing a new one.</t>
  </si>
  <si>
    <t>WHERE THIS COMES FROM</t>
  </si>
  <si>
    <t>Document 02 §9</t>
  </si>
  <si>
    <t>Validation Before Publishing — defines the seventeen checks and their pass criteria.</t>
  </si>
  <si>
    <t>Document 21, Phase 6</t>
  </si>
  <si>
    <t>The three checklist tasks: run all seventeen, record the results here with a date, re-run after any fact-table reload.</t>
  </si>
  <si>
    <t>Document 01 §9</t>
  </si>
  <si>
    <t>Table 9.1, the document set and its numbering.</t>
  </si>
  <si>
    <t>One row per validation run. Enter Run ID, Date, Trigger, Model reference and Run by; every count and the Outcome are formulas that read the Check Results tab. A run is complete when all seventeen checks carry a result. Source of the checks: document 02 §9.</t>
  </si>
  <si>
    <t>Run ID</t>
  </si>
  <si>
    <t>Date</t>
  </si>
  <si>
    <t>Trigger</t>
  </si>
  <si>
    <t>Model / commit reference</t>
  </si>
  <si>
    <t>Run by</t>
  </si>
  <si>
    <t>Checks recorded</t>
  </si>
  <si>
    <t>Pass</t>
  </si>
  <si>
    <t>Fail</t>
  </si>
  <si>
    <t>N/A</t>
  </si>
  <si>
    <t>Blocking failures</t>
  </si>
  <si>
    <t>% Pass</t>
  </si>
  <si>
    <t>Outcome</t>
  </si>
  <si>
    <t>Notes</t>
  </si>
  <si>
    <t>Run 1</t>
  </si>
  <si>
    <t>Initial build</t>
  </si>
  <si>
    <t>Check Results — one row per check, per run</t>
  </si>
  <si>
    <t>Fill in Result, Observed value and Date. Result drives every figure on the Run Summary tab. For a new run, copy the seventeen rows below, paste them underneath, change the Run ID and clear the results. Check, Pass criterion and Severity are quoted from document 02 §9 and the Check Catalog tab — do not reword them.</t>
  </si>
  <si>
    <t>#</t>
  </si>
  <si>
    <t>Check</t>
  </si>
  <si>
    <t>Pass criterion</t>
  </si>
  <si>
    <t>Severity</t>
  </si>
  <si>
    <t>Result</t>
  </si>
  <si>
    <t>Observed value / evidence</t>
  </si>
  <si>
    <t>Checked by</t>
  </si>
  <si>
    <t>Date checked</t>
  </si>
  <si>
    <t>Staged versus loaded rows</t>
  </si>
  <si>
    <t>Zero difference, or every dropped row explained and documented</t>
  </si>
  <si>
    <t>Blocking</t>
  </si>
  <si>
    <t>Not run</t>
  </si>
  <si>
    <t>Sector month coverage</t>
  </si>
  <si>
    <t>No gaps in the monthly sequence for 44X72 across the window</t>
  </si>
  <si>
    <t>Aggregate reconciliation</t>
  </si>
  <si>
    <t>Non-aggregate categories approximate 44X72 directionally; categories overlap, so exact equality is not expected - document what you find</t>
  </si>
  <si>
    <t>Advisory</t>
  </si>
  <si>
    <t>Census versus FRED cross-check</t>
  </si>
  <si>
    <t>MARTS 452 for a given month is within rounding of MRTSSM452USS. A material gap means a wrong code or a seasonal-adjustment mismatch</t>
  </si>
  <si>
    <t>Referential integrity</t>
  </si>
  <si>
    <t>The §6.4 coverage query returns zero rows</t>
  </si>
  <si>
    <t>Date relationship integrity</t>
  </si>
  <si>
    <t>No blank row appears in DimDate in Model view</t>
  </si>
  <si>
    <t>Measure unit consistency</t>
  </si>
  <si>
    <t>No visual places a percent and a dollar series on one axis without indexing or a secondary axis</t>
  </si>
  <si>
    <t>Cases versus dollars separation</t>
  </si>
  <si>
    <t>No visual, matrix or sentence places a case measure beside a nominal dollar measure. Every Tier 3 axis is labelled Cases. The only permitted pairing is Total Cases YoY % against National Liquor Stores Real YoY %</t>
  </si>
  <si>
    <t>Channel baseline integrity</t>
  </si>
  <si>
    <t>On-Premise Share 2019 Baseline returns a value under every slicer combination used, including a BeverageClass with no 2019 history</t>
  </si>
  <si>
    <t>Channel story has a national counterpart</t>
  </si>
  <si>
    <t>The 2020 divergence between 722 and 4453 moves in the same direction and months as the local on-premise collapse. If not, the local series reflects county policy rather than consumer behaviour and the narrative must be reframed</t>
  </si>
  <si>
    <t>Negative value handling</t>
  </si>
  <si>
    <t>Return Rows is non-zero and the report explains it rather than filtering it away</t>
  </si>
  <si>
    <t>Lifecycle columns current</t>
  </si>
  <si>
    <t>MAX(LastSeenDateKey) in DimItem equals MAX(DateKey) in the fact. A mismatch means §5.8 was not re-run and every survival figure is stale</t>
  </si>
  <si>
    <t>Cohort census</t>
  </si>
  <si>
    <t>Cohort Size summed across CohortYear equals the DimItem row count</t>
  </si>
  <si>
    <t>Pareto accumulation</t>
  </si>
  <si>
    <t>Cumulative Cases % reaches exactly 100% at the lowest-ranked item under every slicer combination</t>
  </si>
  <si>
    <t>Coefficients carry their sample</t>
  </si>
  <si>
    <t>Every visual showing a slope or correlation also shows Observation Count</t>
  </si>
  <si>
    <t>Left-censored cohort labelled</t>
  </si>
  <si>
    <t>2017 is excluded from or explicitly labelled on every survival visual</t>
  </si>
  <si>
    <t>Report-to-model binding</t>
  </si>
  <si>
    <t>All three reports open against the published model with no local model - the live connection indicator, not an editable Fields pane</t>
  </si>
  <si>
    <t>Check Catalog — the seventeen pre-publication checks</t>
  </si>
  <si>
    <t>The reference copy, expanded from document 02 §9 with what each check protects, where it runs and how. Read-only in practice: change it here and in document 02 §9 together, never in one place only.</t>
  </si>
  <si>
    <t>What it protects against</t>
  </si>
  <si>
    <t>Where it runs</t>
  </si>
  <si>
    <t>How to run it</t>
  </si>
  <si>
    <t>Re-run after a fact-table reload</t>
  </si>
  <si>
    <t>A silent load failure. Rows lost to a failed date predicate or an absent dimension key never raise an error.</t>
  </si>
  <si>
    <t>SSMS</t>
  </si>
  <si>
    <t>Run the staged-versus-loaded reconciliation at the end of sql/05_fact_and_proc.sql (doc 02 §5.7). Record both counts, not just the difference.</t>
  </si>
  <si>
    <t>Yes</t>
  </si>
  <si>
    <t>A missing month reads as a collapse on every line chart and pulls every 3M and 12M average with it.</t>
  </si>
  <si>
    <t>SSMS or Power BI</t>
  </si>
  <si>
    <t>Group FactSectorSales by DateKey for category 44X72 and confirm one row per month from pStartPeriod to pEndPeriod. A COUNTROWS card by year is enough.</t>
  </si>
  <si>
    <t>Treating an overlapping category set as a partition, and reporting a sum that double-counts.</t>
  </si>
  <si>
    <t>Power BI</t>
  </si>
  <si>
    <t>Put Sector Sales by category and Total Retail and Food Services on one table for a single month. Record the gap and the reason for it, not a pass mark.</t>
  </si>
  <si>
    <t>A wrong NAICS code or an adjusted-versus-unadjusted mismatch, which is invisible in a single series and obvious across two.</t>
  </si>
  <si>
    <t>Power BI and fred.stlouisfed.org</t>
  </si>
  <si>
    <t>Filter to one month, read the Sector Sales card for 452, and compare against the MRTSSM452USS series page. Record both figures and the month.</t>
  </si>
  <si>
    <t>Unmapped category or item-type codes, which appear in the reports as a blank slicer entry.</t>
  </si>
  <si>
    <t>Run the coverage query in doc 02 §6.4. A non-zero result lists exactly which codes are missing from RefMappings.xlsx.</t>
  </si>
  <si>
    <t>Fact dates outside the DimDate range. Power BI creates a blank row silently and time intelligence goes quietly wrong.</t>
  </si>
  <si>
    <t>Power BI Model view</t>
  </si>
  <si>
    <t>Open Model view, select DimDate and look for the blank member. Also confirm MIN and MAX of DateKey in each fact fall inside DimDate.</t>
  </si>
  <si>
    <t>A chart that is arithmetically true and visually meaningless.</t>
  </si>
  <si>
    <t>Walk the doc 15 spec tables and check the axis assignment on every combination chart. Record the visuals inspected, not just the verdict.</t>
  </si>
  <si>
    <t>No</t>
  </si>
  <si>
    <t>The single error that would discredit the whole project: comparing physical volume to nominal dollars as though inflation were not in one of them.</t>
  </si>
  <si>
    <t>Inspect every Tier 3 visual, every tooltip and every text box. This is the check to run last and to run slowly.</t>
  </si>
  <si>
    <t>A card that goes (Blank) in front of a reviewer because the baseline context was emptied by a slicer.</t>
  </si>
  <si>
    <t>On R1 Page 3, step through each slicer combination and confirm the baseline card holds a value. Note any combination that blanks it.</t>
  </si>
  <si>
    <t>Presenting a county policy artefact as a consumer-behaviour finding.</t>
  </si>
  <si>
    <t>Overlay the 722 and 4453 national series against local On-Premise Share for 2019-2021. Record the direction and the months, not a yes or no.</t>
  </si>
  <si>
    <t>Quietly deleting the returns that make the data real.</t>
  </si>
  <si>
    <t>Read the Return Rows card unfiltered and confirm the caveat text box is present on the page that uses it.</t>
  </si>
  <si>
    <t>Stale derived columns after a reload. Nothing errors; the survival curves are simply wrong.</t>
  </si>
  <si>
    <t>SELECT MAX(LastSeenDateKey) FROM dw.DimItem and SELECT MAX(DateKey) FROM the fact table. Record both values.</t>
  </si>
  <si>
    <t>Items with no cohort year, which silently drop out of every survival figure.</t>
  </si>
  <si>
    <t>Place Cohort Size on a table by CohortYear with a total, and compare the total against COUNTROWS(DimItem).</t>
  </si>
  <si>
    <t>A ranking context and a total context that disagree, which is what a Pareto line stopping short of the right edge means.</t>
  </si>
  <si>
    <t>On the R3 Pareto visual, read the right-hand edge under each slicer combination in the doc 15 spec. Record the combinations tested.</t>
  </si>
  <si>
    <t>A correlation quoted from four points.</t>
  </si>
  <si>
    <t>List every visual using Volume Stress Sensitivity, Volume Stress Correlation or Rate Sensitivity Beta and confirm Observation Count is on the page.</t>
  </si>
  <si>
    <t>Reporting an artefact of where the data starts as a finding about item survival.</t>
  </si>
  <si>
    <t>Check each survival visual for either a 2017 exclusion in the filter pane or the caveat text box.</t>
  </si>
  <si>
    <t>A report that quietly carries its own copy of the model, which is the divergence the shared model exists to prevent.</t>
  </si>
  <si>
    <t>Power BI Desktop</t>
  </si>
  <si>
    <t>Open R1, R2 and R3 and confirm the live-connection indicator in the status bar and a read-only Fields pane in each.</t>
  </si>
  <si>
    <t>Failure Log — every Fail, its cause, its fix and its re-verification</t>
  </si>
  <si>
    <t>One row for each check recorded as Fail on the Check Results tab. Status is a formula: a failure is Closed only once it has been re-verified in a later run. An open blocking failure is a reason not to publish.</t>
  </si>
  <si>
    <t>Failure ID</t>
  </si>
  <si>
    <t>Check #</t>
  </si>
  <si>
    <t>What was observed</t>
  </si>
  <si>
    <t>Root cause</t>
  </si>
  <si>
    <t>Fix applied</t>
  </si>
  <si>
    <t>Fixed by</t>
  </si>
  <si>
    <t>Date fixed</t>
  </si>
  <si>
    <t>Re-verified in run</t>
  </si>
  <si>
    <t>Status</t>
  </si>
  <si>
    <r>
      <t>The four tabs</t>
    </r>
    <r>
      <rPr>
        <sz val="11"/>
        <color theme="1"/>
        <rFont val="Calibri"/>
        <family val="2"/>
        <scheme val="minor"/>
      </rPr>
      <t xml:space="preserve"> — what each is for and what you type on it. The tab names are clickable hyperlinks that jump straight to the sheet.</t>
    </r>
  </si>
  <si>
    <r>
      <t>Recording a run</t>
    </r>
    <r>
      <rPr>
        <sz val="11"/>
        <color theme="1"/>
        <rFont val="Calibri"/>
        <family val="2"/>
        <scheme val="minor"/>
      </rPr>
      <t xml:space="preserve"> — five steps, including the one that matters: put a </t>
    </r>
    <r>
      <rPr>
        <i/>
        <sz val="11"/>
        <color theme="1"/>
        <rFont val="Calibri"/>
        <family val="2"/>
        <scheme val="minor"/>
      </rPr>
      <t>number</t>
    </r>
    <r>
      <rPr>
        <sz val="11"/>
        <color theme="1"/>
        <rFont val="Calibri"/>
        <family val="2"/>
        <scheme val="minor"/>
      </rPr>
      <t xml:space="preserve"> in Observed value, not a tick. "330,080 staged / 330,080 loaded" is a record; "looks fine" is not.</t>
    </r>
  </si>
  <si>
    <r>
      <t>What the Outcome column means</t>
    </r>
    <r>
      <rPr>
        <sz val="11"/>
        <color theme="1"/>
        <rFont val="Calibri"/>
        <family val="2"/>
        <scheme val="minor"/>
      </rPr>
      <t xml:space="preserve"> — PASS, BLOCKED, PASSED WITH FAILURES, INCOMPLETE, each with what you do about it.</t>
    </r>
  </si>
  <si>
    <r>
      <t>Starting a new run</t>
    </r>
    <r>
      <rPr>
        <sz val="11"/>
        <color theme="1"/>
        <rFont val="Calibri"/>
        <family val="2"/>
        <scheme val="minor"/>
      </rPr>
      <t xml:space="preserve"> — the copy/paste/clear procedure, and the note that the Run Summary row must be </t>
    </r>
    <r>
      <rPr>
        <i/>
        <sz val="11"/>
        <color theme="1"/>
        <rFont val="Calibri"/>
        <family val="2"/>
        <scheme val="minor"/>
      </rPr>
      <t>copied</t>
    </r>
    <r>
      <rPr>
        <sz val="11"/>
        <color theme="1"/>
        <rFont val="Calibri"/>
        <family val="2"/>
        <scheme val="minor"/>
      </rPr>
      <t xml:space="preserve"> so the formulas come with it.</t>
    </r>
  </si>
  <si>
    <r>
      <t>When a check fails</t>
    </r>
    <r>
      <rPr>
        <sz val="11"/>
        <color theme="1"/>
        <rFont val="Calibri"/>
        <family val="2"/>
        <scheme val="minor"/>
      </rPr>
      <t xml:space="preserve"> — Fail stays Fail; it goes on the Failure Log and stays open until a later run re-verifies it.</t>
    </r>
  </si>
  <si>
    <r>
      <t>Rules</t>
    </r>
    <r>
      <rPr>
        <sz val="11"/>
        <color theme="1"/>
        <rFont val="Calibri"/>
        <family val="2"/>
        <scheme val="minor"/>
      </rPr>
      <t xml:space="preserve"> — don't reword the checks (they're quoted from doc 02 §9); N/A needs a reason in Notes or it should stay "Not run"; Run ID must match exactly between the two tabs, a trailing space zeroes the counts.</t>
    </r>
  </si>
  <si>
    <r>
      <t>Formula cells — do not type over these</t>
    </r>
    <r>
      <rPr>
        <sz val="11"/>
        <color theme="1"/>
        <rFont val="Calibri"/>
        <family val="2"/>
        <scheme val="minor"/>
      </rPr>
      <t xml:space="preserve"> — names the exact ranges (</t>
    </r>
    <r>
      <rPr>
        <sz val="10"/>
        <color theme="1"/>
        <rFont val="Arial Unicode MS"/>
      </rPr>
      <t>Run Summary F:K</t>
    </r>
    <r>
      <rPr>
        <sz val="11"/>
        <color theme="1"/>
        <rFont val="Calibri"/>
        <family val="2"/>
        <scheme val="minor"/>
      </rPr>
      <t xml:space="preserve"> and </t>
    </r>
    <r>
      <rPr>
        <sz val="10"/>
        <color theme="1"/>
        <rFont val="Arial Unicode MS"/>
      </rPr>
      <t>L</t>
    </r>
    <r>
      <rPr>
        <sz val="11"/>
        <color theme="1"/>
        <rFont val="Calibri"/>
        <family val="2"/>
        <scheme val="minor"/>
      </rPr>
      <t xml:space="preserve">, </t>
    </r>
    <r>
      <rPr>
        <sz val="10"/>
        <color theme="1"/>
        <rFont val="Arial Unicode MS"/>
      </rPr>
      <t>Failure Log J</t>
    </r>
    <r>
      <rPr>
        <sz val="11"/>
        <color theme="1"/>
        <rFont val="Calibri"/>
        <family val="2"/>
        <scheme val="minor"/>
      </rPr>
      <t>) and the row limits (Check Results 5–600, Run Summary 5–60).</t>
    </r>
  </si>
  <si>
    <r>
      <t xml:space="preserve">Verified after the rebuild: seeded 16 Pass / 1 blocking Fail → Run Summary returns </t>
    </r>
    <r>
      <rPr>
        <sz val="10"/>
        <color theme="1"/>
        <rFont val="Arial Unicode MS"/>
      </rPr>
      <t>17, 16, 1, 0, 1, 94%, BLOCKED</t>
    </r>
    <r>
      <rPr>
        <sz val="11"/>
        <color theme="1"/>
        <rFont val="Calibri"/>
        <family val="2"/>
        <scheme val="minor"/>
      </rPr>
      <t xml:space="preserve">. Written to </t>
    </r>
    <r>
      <rPr>
        <sz val="10"/>
        <color theme="1"/>
        <rFont val="Arial Unicode MS"/>
      </rPr>
      <t>X:\retail-sector-health\docs\</t>
    </r>
    <r>
      <rPr>
        <sz val="11"/>
        <color theme="1"/>
        <rFont val="Calibri"/>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</si>
</sst>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font>
      <sz val="11"/>
      <color theme="1"/>
      <name val="Calibri"/>
      <family val="2"/>
      <scheme val="minor"/>
    </font>
    <font>
      <b/>
      <sz val="16"/>
      <color rgb="FF1F3864"/>
      <name val="Times New Roman"/>
    </font>
    <font>
      <i/>
      <sz val="10.5"/>
      <color rgb="FF595959"/>
      <name val="Times New Roman"/>
    </font>
    <font>
      <b/>
      <sz val="11.5"/>
      <color rgb="FFFFFFFF"/>
      <name val="Times New Roman"/>
    </font>
    <font>
      <b/>
      <sz val="10.5"/>
      <color rgb="FF1F3864"/>
      <name val="Times New Roman"/>
    </font>
    <font>
      <sz val="10"/>
      <color rgb="FF404040"/>
      <name val="Times New Roman"/>
    </font>
    <font>
      <b/>
      <u/>
      <sz val="10.5"/>
      <color rgb="FF0563C1"/>
      <name val="Times New Roman"/>
    </font>
    <font>
      <b/>
      <sz val="10.5"/>
      <color rgb="FF1B9E8F"/>
      <name val="Times New Roman"/>
    </font>
    <font>
      <sz val="10.5"/>
      <color rgb="FF404040"/>
      <name val="Times New Roman"/>
    </font>
    <font>
      <i/>
      <sz val="10"/>
      <color rgb="FF808080"/>
      <name val="Times New Roman"/>
    </font>
    <font>
      <b/>
      <sz val="15"/>
      <color rgb="FF1F3864"/>
      <name val="Times New Roman"/>
    </font>
    <font>
      <i/>
      <sz val="10"/>
      <color rgb="FF595959"/>
      <name val="Times New Roman"/>
    </font>
    <font>
      <b/>
      <sz val="11"/>
      <color rgb="FFFFFFFF"/>
      <name val="Times New Roman"/>
    </font>
    <font>
      <b/>
      <sz val="10"/>
      <color rgb="FF1F3864"/>
      <name val="Times New Roman"/>
    </font>
    <font>
      <b/>
      <sz val="10"/>
      <color rgb="FF404040"/>
      <name val="Times New Roman"/>
    </font>
    <font>
      <sz val="9.5"/>
      <color rgb="FF404040"/>
      <name val="Times New Roman"/>
    </font>
    <font>
      <b/>
      <sz val="10"/>
      <color rgb="FFB01C1C"/>
      <name val="Times New Roman"/>
    </font>
    <font>
      <sz val="10"/>
      <color rgb="FF808080"/>
      <name val="Times New Roman"/>
    </font>
    <font>
      <b/>
      <sz val="10"/>
      <color rgb="FF1B9E8F"/>
      <name val="Times New Roman"/>
    </font>
    <font>
      <b/>
      <sz val="11"/>
      <color theme="1"/>
      <name val="Calibri"/>
      <family val="2"/>
      <scheme val="minor"/>
    </font>
    <font>
      <i/>
      <sz val="11"/>
      <color theme="1"/>
      <name val="Calibri"/>
      <family val="2"/>
      <scheme val="minor"/>
    </font>
    <font>
      <sz val="10"/>
      <color theme="1"/>
      <name val="Arial Unicode MS"/>
    </font>
  </fonts>
  <fills count="4">
    <fill>
      <patternFill patternType="none"/>
    </fill>
    <fill>
      <patternFill patternType="gray125"/>
    </fill>
    <fill>
      <patternFill patternType="solid">
        <fgColor rgb="FF1F3864"/>
      </patternFill>
    </fill>
    <fill>
      <patternFill patternType="solid">
        <fgColor rgb="FFF2F2F2"/>
      </patternFill>
    </fill>
  </fills>
  <borders count="4">
    <border>
      <left/>
      <right/>
      <top/>
      <bottom/>
      <diagonal/>
    </border>
    <border>
      <left/>
      <right/>
      <top/>
      <bottom/>
      <diagonal/>
    </border>
    <border>
      <left/>
      <right/>
      <top style="thin">
        <color rgb="FFBFBFBF"/>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0">
    <xf numFmtId="0" fontId="0" fillId="0" borderId="0" xfId="0"/>
    <xf numFmtId="0" fontId="4" fillId="0" borderId="1" xfId="0" applyFont="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vertical="top" wrapText="1"/>
    </xf>
    <xf numFmtId="0" fontId="5" fillId="0" borderId="2" xfId="0" applyFont="1" applyBorder="1" applyAlignment="1">
      <alignment vertical="top" wrapText="1"/>
    </xf>
    <xf numFmtId="0" fontId="7" fillId="0" borderId="0" xfId="0" applyFont="1" applyAlignment="1">
      <alignment horizontal="right" vertical="top"/>
    </xf>
    <xf numFmtId="0" fontId="4" fillId="0" borderId="2" xfId="0" applyFont="1" applyBorder="1" applyAlignment="1">
      <alignment vertical="top" wrapText="1"/>
    </xf>
    <xf numFmtId="0" fontId="4" fillId="0" borderId="0" xfId="0" applyFont="1" applyAlignment="1">
      <alignment horizontal="right" vertical="top"/>
    </xf>
    <xf numFmtId="0" fontId="12" fillId="2" borderId="3" xfId="0" applyFont="1" applyFill="1" applyBorder="1" applyAlignment="1">
      <alignment horizontal="left" vertical="center" wrapText="1"/>
    </xf>
    <xf numFmtId="0" fontId="13" fillId="0" borderId="3" xfId="0" applyFont="1" applyBorder="1" applyAlignment="1">
      <alignment horizontal="left" vertical="top" wrapText="1"/>
    </xf>
    <xf numFmtId="164" fontId="5" fillId="0" borderId="3" xfId="0" applyNumberFormat="1" applyFont="1" applyBorder="1" applyAlignment="1">
      <alignment horizontal="center" vertical="top" wrapText="1"/>
    </xf>
    <xf numFmtId="0" fontId="5" fillId="0" borderId="3" xfId="0" applyFont="1" applyBorder="1" applyAlignment="1">
      <alignment vertical="top" wrapText="1"/>
    </xf>
    <xf numFmtId="0" fontId="5" fillId="0" borderId="3" xfId="0" applyFont="1" applyBorder="1" applyAlignment="1">
      <alignment horizontal="center" vertical="center" wrapText="1"/>
    </xf>
    <xf numFmtId="0" fontId="14" fillId="0" borderId="3" xfId="0" applyFont="1" applyBorder="1" applyAlignment="1">
      <alignment horizontal="center" vertical="center" wrapText="1"/>
    </xf>
    <xf numFmtId="9" fontId="5" fillId="0" borderId="3" xfId="0" applyNumberFormat="1" applyFont="1" applyBorder="1" applyAlignment="1">
      <alignment horizontal="center" vertical="center" wrapText="1"/>
    </xf>
    <xf numFmtId="0" fontId="14" fillId="0" borderId="3" xfId="0" applyFont="1" applyBorder="1" applyAlignment="1">
      <alignment horizontal="left" vertical="center" wrapText="1"/>
    </xf>
    <xf numFmtId="0" fontId="15" fillId="0" borderId="3" xfId="0" applyFont="1" applyBorder="1" applyAlignment="1">
      <alignment vertical="top" wrapText="1"/>
    </xf>
    <xf numFmtId="0" fontId="13" fillId="3" borderId="3" xfId="0" applyFont="1" applyFill="1" applyBorder="1" applyAlignment="1">
      <alignment horizontal="left" vertical="top" wrapText="1"/>
    </xf>
    <xf numFmtId="164" fontId="5" fillId="3" borderId="3" xfId="0" applyNumberFormat="1" applyFont="1" applyFill="1" applyBorder="1" applyAlignment="1">
      <alignment horizontal="center" vertical="top" wrapText="1"/>
    </xf>
    <xf numFmtId="0" fontId="5" fillId="3" borderId="3" xfId="0" applyFont="1" applyFill="1" applyBorder="1" applyAlignment="1">
      <alignment vertical="top" wrapText="1"/>
    </xf>
    <xf numFmtId="0" fontId="5" fillId="3" borderId="3" xfId="0" applyFont="1" applyFill="1" applyBorder="1" applyAlignment="1">
      <alignment horizontal="center" vertical="center" wrapText="1"/>
    </xf>
    <xf numFmtId="0" fontId="14" fillId="3" borderId="3" xfId="0" applyFont="1" applyFill="1" applyBorder="1" applyAlignment="1">
      <alignment horizontal="center" vertical="center" wrapText="1"/>
    </xf>
    <xf numFmtId="9" fontId="5" fillId="3" borderId="3" xfId="0" applyNumberFormat="1" applyFont="1" applyFill="1" applyBorder="1" applyAlignment="1">
      <alignment horizontal="center" vertical="center" wrapText="1"/>
    </xf>
    <xf numFmtId="0" fontId="14" fillId="3" borderId="3" xfId="0" applyFont="1" applyFill="1" applyBorder="1" applyAlignment="1">
      <alignment horizontal="left" vertical="center" wrapText="1"/>
    </xf>
    <xf numFmtId="0" fontId="15" fillId="3" borderId="3" xfId="0" applyFont="1" applyFill="1" applyBorder="1" applyAlignment="1">
      <alignment vertical="top" wrapText="1"/>
    </xf>
    <xf numFmtId="0" fontId="13" fillId="0" borderId="3" xfId="0" applyFont="1" applyBorder="1" applyAlignment="1">
      <alignment vertical="top" wrapText="1"/>
    </xf>
    <xf numFmtId="0" fontId="16" fillId="0" borderId="3" xfId="0" applyFont="1" applyBorder="1" applyAlignment="1">
      <alignment horizontal="center" vertical="center" wrapText="1"/>
    </xf>
    <xf numFmtId="164" fontId="5" fillId="0" borderId="3" xfId="0" applyNumberFormat="1" applyFont="1" applyBorder="1" applyAlignment="1">
      <alignment horizontal="center" vertical="center" wrapText="1"/>
    </xf>
    <xf numFmtId="0" fontId="13" fillId="3" borderId="3" xfId="0" applyFont="1" applyFill="1" applyBorder="1" applyAlignment="1">
      <alignment vertical="top" wrapText="1"/>
    </xf>
    <xf numFmtId="0" fontId="16" fillId="3" borderId="3" xfId="0" applyFont="1" applyFill="1" applyBorder="1" applyAlignment="1">
      <alignment horizontal="center" vertical="center" wrapText="1"/>
    </xf>
    <xf numFmtId="164" fontId="5" fillId="3" borderId="3" xfId="0" applyNumberFormat="1" applyFont="1" applyFill="1" applyBorder="1" applyAlignment="1">
      <alignment horizontal="center" vertical="center" wrapText="1"/>
    </xf>
    <xf numFmtId="0" fontId="17" fillId="0" borderId="3" xfId="0" applyFont="1" applyBorder="1" applyAlignment="1">
      <alignment horizontal="center" vertical="center" wrapText="1"/>
    </xf>
    <xf numFmtId="0" fontId="17" fillId="3" borderId="3" xfId="0" applyFont="1" applyFill="1" applyBorder="1" applyAlignment="1">
      <alignment horizontal="center" vertical="center" wrapText="1"/>
    </xf>
    <xf numFmtId="164" fontId="5" fillId="3" borderId="3" xfId="0" applyNumberFormat="1" applyFont="1" applyFill="1" applyBorder="1" applyAlignment="1">
      <alignment vertical="top" wrapText="1"/>
    </xf>
    <xf numFmtId="164" fontId="5" fillId="0" borderId="3" xfId="0" applyNumberFormat="1" applyFont="1" applyBorder="1" applyAlignment="1">
      <alignment vertical="top" wrapText="1"/>
    </xf>
    <xf numFmtId="0" fontId="15" fillId="0" borderId="3" xfId="0" applyFont="1" applyBorder="1" applyAlignment="1">
      <alignment horizontal="center" vertical="center" wrapText="1"/>
    </xf>
    <xf numFmtId="0" fontId="18" fillId="0" borderId="3" xfId="0" applyFont="1" applyBorder="1" applyAlignment="1">
      <alignment horizontal="center" vertical="center" wrapText="1"/>
    </xf>
    <xf numFmtId="0" fontId="15" fillId="3" borderId="3" xfId="0" applyFont="1" applyFill="1" applyBorder="1" applyAlignment="1">
      <alignment horizontal="center" vertical="center" wrapText="1"/>
    </xf>
    <xf numFmtId="0" fontId="18" fillId="3" borderId="3" xfId="0" applyFont="1" applyFill="1" applyBorder="1" applyAlignment="1">
      <alignment horizontal="center" vertical="center" wrapText="1"/>
    </xf>
    <xf numFmtId="0" fontId="5" fillId="0" borderId="3" xfId="0" applyFont="1" applyBorder="1" applyAlignment="1">
      <alignment horizontal="center" vertical="top" wrapText="1"/>
    </xf>
    <xf numFmtId="0" fontId="5" fillId="3" borderId="3" xfId="0" applyFont="1" applyFill="1" applyBorder="1" applyAlignment="1">
      <alignment horizontal="center" vertical="top" wrapText="1"/>
    </xf>
    <xf numFmtId="0" fontId="8" fillId="0" borderId="0" xfId="0" applyFont="1" applyAlignment="1">
      <alignment vertical="top" wrapText="1"/>
    </xf>
    <xf numFmtId="0" fontId="0" fillId="0" borderId="0" xfId="0"/>
    <xf numFmtId="0" fontId="3" fillId="2" borderId="0" xfId="0" applyFont="1" applyFill="1" applyAlignment="1">
      <alignment horizontal="left" vertical="center" indent="1"/>
    </xf>
    <xf numFmtId="0" fontId="2" fillId="0" borderId="0" xfId="0" applyFont="1" applyAlignment="1">
      <alignment vertical="center" wrapText="1"/>
    </xf>
    <xf numFmtId="0" fontId="9" fillId="0" borderId="0" xfId="0" applyFont="1" applyAlignment="1">
      <alignment vertical="top" wrapText="1"/>
    </xf>
    <xf numFmtId="0" fontId="1" fillId="0" borderId="0" xfId="0" applyFont="1"/>
    <xf numFmtId="0" fontId="11" fillId="0" borderId="0" xfId="0" applyFont="1" applyAlignment="1">
      <alignment vertical="center" wrapText="1"/>
    </xf>
    <xf numFmtId="0" fontId="10" fillId="0" borderId="0" xfId="0" applyFont="1"/>
    <xf numFmtId="0" fontId="19" fillId="0" borderId="0" xfId="0" applyFont="1" applyAlignment="1">
      <alignment horizontal="left" vertical="center" indent="1"/>
    </xf>
  </cellXfs>
  <cellStyles count="1">
    <cellStyle name="Normal" xfId="0" builtinId="0"/>
  </cellStyles>
  <dxfs count="12">
    <dxf>
      <font>
        <sz val="10"/>
        <color rgb="FFC8860A"/>
        <name val="Times New Roman"/>
      </font>
      <fill>
        <patternFill patternType="solid">
          <fgColor rgb="FFFBE3C8"/>
        </patternFill>
      </fill>
    </dxf>
    <dxf>
      <font>
        <b/>
        <sz val="10"/>
        <color rgb="FFB01C1C"/>
        <name val="Times New Roman"/>
      </font>
      <fill>
        <patternFill patternType="solid">
          <fgColor rgb="FFF7D4D4"/>
        </patternFill>
      </fill>
    </dxf>
    <dxf>
      <font>
        <b/>
        <sz val="10"/>
        <color rgb="FF1E7B34"/>
        <name val="Times New Roman"/>
      </font>
      <fill>
        <patternFill patternType="solid">
          <fgColor rgb="FFD6EFD9"/>
        </patternFill>
      </fill>
    </dxf>
    <dxf>
      <font>
        <sz val="10"/>
        <color rgb="FFC8860A"/>
        <name val="Times New Roman"/>
      </font>
      <fill>
        <patternFill patternType="solid">
          <fgColor rgb="FFFBE3C8"/>
        </patternFill>
      </fill>
    </dxf>
    <dxf>
      <font>
        <sz val="10"/>
        <color rgb="FF808080"/>
        <name val="Times New Roman"/>
      </font>
      <fill>
        <patternFill patternType="solid">
          <fgColor rgb="FFEDEDED"/>
        </patternFill>
      </fill>
    </dxf>
    <dxf>
      <font>
        <b/>
        <sz val="10"/>
        <color rgb="FFB01C1C"/>
        <name val="Times New Roman"/>
      </font>
      <fill>
        <patternFill patternType="solid">
          <fgColor rgb="FFF7D4D4"/>
        </patternFill>
      </fill>
    </dxf>
    <dxf>
      <font>
        <b/>
        <sz val="10"/>
        <color rgb="FF1E7B34"/>
        <name val="Times New Roman"/>
      </font>
      <fill>
        <patternFill patternType="solid">
          <fgColor rgb="FFD6EFD9"/>
        </patternFill>
      </fill>
    </dxf>
    <dxf>
      <font>
        <b/>
        <sz val="10"/>
        <color rgb="FFC8860A"/>
        <name val="Times New Roman"/>
      </font>
      <fill>
        <patternFill patternType="solid">
          <fgColor rgb="FFFBE3C8"/>
        </patternFill>
      </fill>
    </dxf>
    <dxf>
      <font>
        <sz val="10"/>
        <color rgb="FFC8860A"/>
        <name val="Times New Roman"/>
      </font>
      <fill>
        <patternFill patternType="solid">
          <fgColor rgb="FFFBE3C8"/>
        </patternFill>
      </fill>
    </dxf>
    <dxf>
      <font>
        <b/>
        <sz val="10"/>
        <color rgb="FFB01C1C"/>
        <name val="Times New Roman"/>
      </font>
      <fill>
        <patternFill patternType="solid">
          <fgColor rgb="FFF7D4D4"/>
        </patternFill>
      </fill>
    </dxf>
    <dxf>
      <font>
        <b/>
        <sz val="10"/>
        <color rgb="FF1E7B34"/>
        <name val="Times New Roman"/>
      </font>
      <fill>
        <patternFill patternType="solid">
          <fgColor rgb="FFD6EFD9"/>
        </patternFill>
      </fill>
    </dxf>
    <dxf>
      <font>
        <b/>
        <sz val="10"/>
        <color rgb="FFB01C1C"/>
        <name val="Times New Roman"/>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4672D-4E85-4676-B75E-D68676648E09}">
  <dimension ref="A1:A9"/>
  <sheetViews>
    <sheetView tabSelected="1" workbookViewId="0">
      <selection sqref="A1:A9"/>
    </sheetView>
  </sheetViews>
  <sheetFormatPr defaultRowHeight="14.5"/>
  <sheetData>
    <row r="1" spans="1:1">
      <c r="A1" s="49" t="s">
        <v>183</v>
      </c>
    </row>
    <row r="2" spans="1:1">
      <c r="A2" s="49" t="s">
        <v>184</v>
      </c>
    </row>
    <row r="3" spans="1:1">
      <c r="A3" s="49" t="s">
        <v>185</v>
      </c>
    </row>
    <row r="4" spans="1:1">
      <c r="A4" s="49" t="s">
        <v>186</v>
      </c>
    </row>
    <row r="5" spans="1:1">
      <c r="A5" s="49" t="s">
        <v>187</v>
      </c>
    </row>
    <row r="6" spans="1:1">
      <c r="A6" s="49" t="s">
        <v>188</v>
      </c>
    </row>
    <row r="7" spans="1:1">
      <c r="A7" s="49" t="s">
        <v>189</v>
      </c>
    </row>
    <row r="9" spans="1:1">
      <c r="A9" t="s">
        <v>190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C54"/>
  <sheetViews>
    <sheetView showGridLines="0" workbookViewId="0">
      <pane ySplit="3" topLeftCell="A4" activePane="bottomLeft" state="frozen"/>
      <selection pane="bottomLeft"/>
    </sheetView>
  </sheetViews>
  <sheetFormatPr defaultRowHeight="14.5"/>
  <cols>
    <col min="1" max="1" width="4" customWidth="1"/>
    <col min="2" max="2" width="28" customWidth="1"/>
    <col min="3" max="3" width="92" customWidth="1"/>
  </cols>
  <sheetData>
    <row r="1" spans="1:3" ht="26" customHeight="1">
      <c r="A1" s="46" t="s">
        <v>0</v>
      </c>
      <c r="B1" s="42"/>
      <c r="C1" s="42"/>
    </row>
    <row r="2" spans="1:3" ht="46" customHeight="1">
      <c r="A2" s="44" t="s">
        <v>1</v>
      </c>
      <c r="B2" s="42"/>
      <c r="C2" s="42"/>
    </row>
    <row r="4" spans="1:3" ht="22" customHeight="1">
      <c r="A4" s="43" t="s">
        <v>2</v>
      </c>
      <c r="B4" s="42"/>
      <c r="C4" s="42"/>
    </row>
    <row r="6" spans="1:3" ht="18" customHeight="1">
      <c r="B6" s="1" t="s">
        <v>3</v>
      </c>
      <c r="C6" s="2" t="s">
        <v>4</v>
      </c>
    </row>
    <row r="7" spans="1:3" ht="46" customHeight="1">
      <c r="B7" s="3" t="s">
        <v>5</v>
      </c>
      <c r="C7" s="4" t="s">
        <v>6</v>
      </c>
    </row>
    <row r="8" spans="1:3" ht="34" customHeight="1">
      <c r="B8" s="3" t="s">
        <v>7</v>
      </c>
      <c r="C8" s="4" t="s">
        <v>8</v>
      </c>
    </row>
    <row r="9" spans="1:3" ht="34" customHeight="1">
      <c r="B9" s="3" t="s">
        <v>9</v>
      </c>
      <c r="C9" s="4" t="s">
        <v>10</v>
      </c>
    </row>
    <row r="10" spans="1:3" ht="34" customHeight="1">
      <c r="B10" s="3" t="s">
        <v>11</v>
      </c>
      <c r="C10" s="4" t="s">
        <v>12</v>
      </c>
    </row>
    <row r="11" spans="1:3" ht="22" customHeight="1">
      <c r="A11" s="43" t="s">
        <v>13</v>
      </c>
      <c r="B11" s="42"/>
      <c r="C11" s="42"/>
    </row>
    <row r="13" spans="1:3" ht="30" customHeight="1">
      <c r="A13" s="5">
        <v>1</v>
      </c>
      <c r="B13" s="41" t="s">
        <v>14</v>
      </c>
      <c r="C13" s="42"/>
    </row>
    <row r="14" spans="1:3" ht="30" customHeight="1">
      <c r="A14" s="5">
        <v>2</v>
      </c>
      <c r="B14" s="41" t="s">
        <v>15</v>
      </c>
      <c r="C14" s="42"/>
    </row>
    <row r="15" spans="1:3" ht="34" customHeight="1">
      <c r="A15" s="5">
        <v>3</v>
      </c>
      <c r="B15" s="41" t="s">
        <v>16</v>
      </c>
      <c r="C15" s="42"/>
    </row>
    <row r="16" spans="1:3" ht="42" customHeight="1">
      <c r="A16" s="5">
        <v>4</v>
      </c>
      <c r="B16" s="41" t="s">
        <v>17</v>
      </c>
      <c r="C16" s="42"/>
    </row>
    <row r="17" spans="1:3" ht="30" customHeight="1">
      <c r="A17" s="5">
        <v>5</v>
      </c>
      <c r="B17" s="41" t="s">
        <v>18</v>
      </c>
      <c r="C17" s="42"/>
    </row>
    <row r="18" spans="1:3" ht="22" customHeight="1">
      <c r="A18" s="43" t="s">
        <v>19</v>
      </c>
      <c r="B18" s="42"/>
      <c r="C18" s="42"/>
    </row>
    <row r="20" spans="1:3" ht="18" customHeight="1">
      <c r="B20" s="1" t="s">
        <v>20</v>
      </c>
      <c r="C20" s="2" t="s">
        <v>21</v>
      </c>
    </row>
    <row r="21" spans="1:3" ht="30" customHeight="1">
      <c r="B21" s="6" t="s">
        <v>22</v>
      </c>
      <c r="C21" s="4" t="s">
        <v>23</v>
      </c>
    </row>
    <row r="22" spans="1:3" ht="46" customHeight="1">
      <c r="B22" s="6" t="s">
        <v>24</v>
      </c>
      <c r="C22" s="4" t="s">
        <v>25</v>
      </c>
    </row>
    <row r="23" spans="1:3" ht="30" customHeight="1">
      <c r="B23" s="6" t="s">
        <v>26</v>
      </c>
      <c r="C23" s="4" t="s">
        <v>27</v>
      </c>
    </row>
    <row r="24" spans="1:3" ht="22" customHeight="1">
      <c r="A24" s="43" t="s">
        <v>28</v>
      </c>
      <c r="B24" s="42"/>
      <c r="C24" s="42"/>
    </row>
    <row r="26" spans="1:3" ht="44" customHeight="1">
      <c r="B26" s="41" t="s">
        <v>29</v>
      </c>
      <c r="C26" s="42"/>
    </row>
    <row r="27" spans="1:3" ht="30" customHeight="1">
      <c r="A27" s="5">
        <v>1</v>
      </c>
      <c r="B27" s="41" t="s">
        <v>30</v>
      </c>
      <c r="C27" s="42"/>
    </row>
    <row r="28" spans="1:3" ht="30" customHeight="1">
      <c r="A28" s="5">
        <v>2</v>
      </c>
      <c r="B28" s="41" t="s">
        <v>31</v>
      </c>
      <c r="C28" s="42"/>
    </row>
    <row r="29" spans="1:3" ht="34" customHeight="1">
      <c r="A29" s="5">
        <v>3</v>
      </c>
      <c r="B29" s="41" t="s">
        <v>32</v>
      </c>
      <c r="C29" s="42"/>
    </row>
    <row r="30" spans="1:3" ht="34" customHeight="1">
      <c r="A30" s="5">
        <v>4</v>
      </c>
      <c r="B30" s="41" t="s">
        <v>33</v>
      </c>
      <c r="C30" s="42"/>
    </row>
    <row r="31" spans="1:3" ht="22" customHeight="1">
      <c r="A31" s="43" t="s">
        <v>34</v>
      </c>
      <c r="B31" s="42"/>
      <c r="C31" s="42"/>
    </row>
    <row r="33" spans="1:3" ht="34" customHeight="1">
      <c r="A33" s="5">
        <v>1</v>
      </c>
      <c r="B33" s="41" t="s">
        <v>35</v>
      </c>
      <c r="C33" s="42"/>
    </row>
    <row r="34" spans="1:3" ht="30" customHeight="1">
      <c r="A34" s="5">
        <v>2</v>
      </c>
      <c r="B34" s="41" t="s">
        <v>36</v>
      </c>
      <c r="C34" s="42"/>
    </row>
    <row r="35" spans="1:3" ht="30" customHeight="1">
      <c r="A35" s="5">
        <v>3</v>
      </c>
      <c r="B35" s="41" t="s">
        <v>37</v>
      </c>
      <c r="C35" s="42"/>
    </row>
    <row r="36" spans="1:3" ht="34" customHeight="1">
      <c r="A36" s="5">
        <v>4</v>
      </c>
      <c r="B36" s="41" t="s">
        <v>38</v>
      </c>
      <c r="C36" s="42"/>
    </row>
    <row r="37" spans="1:3" ht="22" customHeight="1">
      <c r="A37" s="43" t="s">
        <v>39</v>
      </c>
      <c r="B37" s="42"/>
      <c r="C37" s="42"/>
    </row>
    <row r="39" spans="1:3" ht="44" customHeight="1">
      <c r="A39" s="7" t="s">
        <v>40</v>
      </c>
      <c r="B39" s="41" t="s">
        <v>41</v>
      </c>
      <c r="C39" s="42"/>
    </row>
    <row r="40" spans="1:3" ht="44" customHeight="1">
      <c r="A40" s="7" t="s">
        <v>40</v>
      </c>
      <c r="B40" s="41" t="s">
        <v>42</v>
      </c>
      <c r="C40" s="42"/>
    </row>
    <row r="41" spans="1:3" ht="18" customHeight="1">
      <c r="A41" s="7" t="s">
        <v>40</v>
      </c>
      <c r="B41" s="41" t="s">
        <v>43</v>
      </c>
      <c r="C41" s="42"/>
    </row>
    <row r="42" spans="1:3" ht="32" customHeight="1">
      <c r="A42" s="7" t="s">
        <v>40</v>
      </c>
      <c r="B42" s="41" t="s">
        <v>44</v>
      </c>
      <c r="C42" s="42"/>
    </row>
    <row r="43" spans="1:3" ht="18" customHeight="1">
      <c r="A43" s="7" t="s">
        <v>40</v>
      </c>
      <c r="B43" s="41" t="s">
        <v>45</v>
      </c>
      <c r="C43" s="42"/>
    </row>
    <row r="44" spans="1:3" ht="22" customHeight="1">
      <c r="A44" s="43" t="s">
        <v>46</v>
      </c>
      <c r="B44" s="42"/>
      <c r="C44" s="42"/>
    </row>
    <row r="46" spans="1:3" ht="32" customHeight="1">
      <c r="B46" s="1" t="s">
        <v>47</v>
      </c>
      <c r="C46" s="2" t="s">
        <v>48</v>
      </c>
    </row>
    <row r="47" spans="1:3" ht="30" customHeight="1">
      <c r="B47" s="6" t="s">
        <v>49</v>
      </c>
      <c r="C47" s="4" t="s">
        <v>50</v>
      </c>
    </row>
    <row r="48" spans="1:3" ht="30" customHeight="1">
      <c r="B48" s="6" t="s">
        <v>51</v>
      </c>
      <c r="C48" s="4" t="s">
        <v>52</v>
      </c>
    </row>
    <row r="49" spans="1:3" ht="32" customHeight="1">
      <c r="B49" s="45" t="s">
        <v>53</v>
      </c>
      <c r="C49" s="42"/>
    </row>
    <row r="50" spans="1:3" ht="22" customHeight="1">
      <c r="A50" s="43" t="s">
        <v>54</v>
      </c>
      <c r="B50" s="42"/>
      <c r="C50" s="42"/>
    </row>
    <row r="52" spans="1:3" ht="18" customHeight="1">
      <c r="B52" s="1" t="s">
        <v>55</v>
      </c>
      <c r="C52" s="2" t="s">
        <v>56</v>
      </c>
    </row>
    <row r="53" spans="1:3" ht="30" customHeight="1">
      <c r="B53" s="6" t="s">
        <v>57</v>
      </c>
      <c r="C53" s="4" t="s">
        <v>58</v>
      </c>
    </row>
    <row r="54" spans="1:3" ht="18" customHeight="1">
      <c r="B54" s="6" t="s">
        <v>59</v>
      </c>
      <c r="C54" s="4" t="s">
        <v>60</v>
      </c>
    </row>
  </sheetData>
  <mergeCells count="30">
    <mergeCell ref="B15:C15"/>
    <mergeCell ref="B33:C33"/>
    <mergeCell ref="A1:C1"/>
    <mergeCell ref="B36:C36"/>
    <mergeCell ref="B26:C26"/>
    <mergeCell ref="B35:C35"/>
    <mergeCell ref="A2:C2"/>
    <mergeCell ref="B43:C43"/>
    <mergeCell ref="B39:C39"/>
    <mergeCell ref="B42:C42"/>
    <mergeCell ref="B14:C14"/>
    <mergeCell ref="B17:C17"/>
    <mergeCell ref="A4:C4"/>
    <mergeCell ref="B13:C13"/>
    <mergeCell ref="B29:C29"/>
    <mergeCell ref="A31:C31"/>
    <mergeCell ref="B34:C34"/>
    <mergeCell ref="B28:C28"/>
    <mergeCell ref="B40:C40"/>
    <mergeCell ref="A24:C24"/>
    <mergeCell ref="B30:C30"/>
    <mergeCell ref="A11:C11"/>
    <mergeCell ref="B16:C16"/>
    <mergeCell ref="A37:C37"/>
    <mergeCell ref="A18:C18"/>
    <mergeCell ref="B27:C27"/>
    <mergeCell ref="A50:C50"/>
    <mergeCell ref="A44:C44"/>
    <mergeCell ref="B49:C49"/>
    <mergeCell ref="B41:C41"/>
  </mergeCells>
  <hyperlinks>
    <hyperlink ref="B7" location="'Check Catalog'!A1" display="Check Catalog" xr:uid="{00000000-0004-0000-0000-000000000000}"/>
    <hyperlink ref="B8" location="'Check Results'!A1" display="Check Results" xr:uid="{00000000-0004-0000-0000-000001000000}"/>
    <hyperlink ref="B9" location="'Run Summary'!A1" display="Run Summary" xr:uid="{00000000-0004-0000-0000-000002000000}"/>
    <hyperlink ref="B10" location="'Failure Log'!A1" display="Failure Log" xr:uid="{00000000-0004-0000-0000-000003000000}"/>
  </hyperlinks>
  <pageMargins left="0.75" right="0.75" top="1" bottom="1" header="0.5" footer="0.5"/>
  <pageSetup fitToHeight="0"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60"/>
  <sheetViews>
    <sheetView workbookViewId="0">
      <pane xSplit="1" ySplit="4" topLeftCell="B5" activePane="bottomRight" state="frozen"/>
      <selection pane="topRight"/>
      <selection pane="bottomLeft"/>
      <selection pane="bottomRight"/>
    </sheetView>
  </sheetViews>
  <sheetFormatPr defaultRowHeight="14.5"/>
  <cols>
    <col min="1" max="1" width="10" customWidth="1"/>
    <col min="2" max="2" width="12" customWidth="1"/>
    <col min="3" max="3" width="22" customWidth="1"/>
    <col min="4" max="4" width="26" customWidth="1"/>
    <col min="5" max="5" width="14" customWidth="1"/>
    <col min="6" max="6" width="11" customWidth="1"/>
    <col min="7" max="9" width="8" customWidth="1"/>
    <col min="10" max="10" width="12" customWidth="1"/>
    <col min="11" max="11" width="10" customWidth="1"/>
    <col min="12" max="12" width="22" customWidth="1"/>
    <col min="13" max="13" width="44" customWidth="1"/>
  </cols>
  <sheetData>
    <row r="1" spans="1:13" ht="24" customHeight="1">
      <c r="A1" s="48" t="s">
        <v>0</v>
      </c>
      <c r="B1" s="42"/>
      <c r="C1" s="42"/>
      <c r="D1" s="42"/>
      <c r="E1" s="42"/>
      <c r="F1" s="42"/>
      <c r="G1" s="42"/>
      <c r="H1" s="42"/>
      <c r="I1" s="42"/>
      <c r="J1" s="42"/>
      <c r="K1" s="42"/>
      <c r="L1" s="42"/>
      <c r="M1" s="42"/>
    </row>
    <row r="2" spans="1:13" ht="30" customHeight="1">
      <c r="A2" s="47" t="s">
        <v>61</v>
      </c>
      <c r="B2" s="42"/>
      <c r="C2" s="42"/>
      <c r="D2" s="42"/>
      <c r="E2" s="42"/>
      <c r="F2" s="42"/>
      <c r="G2" s="42"/>
      <c r="H2" s="42"/>
      <c r="I2" s="42"/>
      <c r="J2" s="42"/>
      <c r="K2" s="42"/>
      <c r="L2" s="42"/>
      <c r="M2" s="42"/>
    </row>
    <row r="4" spans="1:13" ht="34" customHeight="1">
      <c r="A4" s="8" t="s">
        <v>62</v>
      </c>
      <c r="B4" s="8" t="s">
        <v>63</v>
      </c>
      <c r="C4" s="8" t="s">
        <v>64</v>
      </c>
      <c r="D4" s="8" t="s">
        <v>65</v>
      </c>
      <c r="E4" s="8" t="s">
        <v>66</v>
      </c>
      <c r="F4" s="8" t="s">
        <v>67</v>
      </c>
      <c r="G4" s="8" t="s">
        <v>68</v>
      </c>
      <c r="H4" s="8" t="s">
        <v>69</v>
      </c>
      <c r="I4" s="8" t="s">
        <v>70</v>
      </c>
      <c r="J4" s="8" t="s">
        <v>71</v>
      </c>
      <c r="K4" s="8" t="s">
        <v>72</v>
      </c>
      <c r="L4" s="8" t="s">
        <v>73</v>
      </c>
      <c r="M4" s="8" t="s">
        <v>74</v>
      </c>
    </row>
    <row r="5" spans="1:13" ht="18" customHeight="1">
      <c r="A5" s="9" t="s">
        <v>75</v>
      </c>
      <c r="B5" s="10"/>
      <c r="C5" s="11" t="s">
        <v>76</v>
      </c>
      <c r="D5" s="11"/>
      <c r="E5" s="11"/>
      <c r="F5" s="12">
        <f>IF($A5="","",COUNTIFS('Check Results'!$A$5:$A$600,$A5,'Check Results'!$F$5:$F$600,"Pass")+COUNTIFS('Check Results'!$A$5:$A$600,$A5,'Check Results'!$F$5:$F$600,"Fail")+COUNTIFS('Check Results'!$A$5:$A$600,$A5,'Check Results'!$F$5:$F$600,"N/A"))</f>
        <v>0</v>
      </c>
      <c r="G5" s="12">
        <f>IF($A5="","",COUNTIFS('Check Results'!$A$5:$A$600,$A5,'Check Results'!$F$5:$F$600,"Pass"))</f>
        <v>0</v>
      </c>
      <c r="H5" s="12">
        <f>IF($A5="","",COUNTIFS('Check Results'!$A$5:$A$600,$A5,'Check Results'!$F$5:$F$600,"Fail"))</f>
        <v>0</v>
      </c>
      <c r="I5" s="12">
        <f>IF($A5="","",COUNTIFS('Check Results'!$A$5:$A$600,$A5,'Check Results'!$F$5:$F$600,"N/A"))</f>
        <v>0</v>
      </c>
      <c r="J5" s="13">
        <f>IF($A5="","",COUNTIFS('Check Results'!$A$5:$A$600,$A5,'Check Results'!$F$5:$F$600,"Fail",'Check Results'!$E$5:$E$600,"Blocking"))</f>
        <v>0</v>
      </c>
      <c r="K5" s="14">
        <f t="shared" ref="K5:K36" si="0">IF($A5="","",IF($G5+$H5=0,0,$G5/($G5+$H5)))</f>
        <v>0</v>
      </c>
      <c r="L5" s="15" t="str">
        <f t="shared" ref="L5:L36" si="1">IF($A5="","",IF($J5&gt;0,"BLOCKED",IF($H5&gt;0,"PASSED WITH FAILURES — see Failure Log",IF($F5&lt;17,"INCOMPLETE — "&amp;(17-$F5)&amp;" not recorded","PASS"))))</f>
        <v>INCOMPLETE — 17 not recorded</v>
      </c>
      <c r="M5" s="16"/>
    </row>
    <row r="6" spans="1:13" ht="18" customHeight="1">
      <c r="A6" s="17"/>
      <c r="B6" s="18"/>
      <c r="C6" s="19"/>
      <c r="D6" s="19"/>
      <c r="E6" s="19"/>
      <c r="F6" s="20" t="str">
        <f>IF($A6="","",COUNTIFS('Check Results'!$A$5:$A$600,$A6,'Check Results'!$F$5:$F$600,"Pass")+COUNTIFS('Check Results'!$A$5:$A$600,$A6,'Check Results'!$F$5:$F$600,"Fail")+COUNTIFS('Check Results'!$A$5:$A$600,$A6,'Check Results'!$F$5:$F$600,"N/A"))</f>
        <v/>
      </c>
      <c r="G6" s="20" t="str">
        <f>IF($A6="","",COUNTIFS('Check Results'!$A$5:$A$600,$A6,'Check Results'!$F$5:$F$600,"Pass"))</f>
        <v/>
      </c>
      <c r="H6" s="20" t="str">
        <f>IF($A6="","",COUNTIFS('Check Results'!$A$5:$A$600,$A6,'Check Results'!$F$5:$F$600,"Fail"))</f>
        <v/>
      </c>
      <c r="I6" s="20" t="str">
        <f>IF($A6="","",COUNTIFS('Check Results'!$A$5:$A$600,$A6,'Check Results'!$F$5:$F$600,"N/A"))</f>
        <v/>
      </c>
      <c r="J6" s="21" t="str">
        <f>IF($A6="","",COUNTIFS('Check Results'!$A$5:$A$600,$A6,'Check Results'!$F$5:$F$600,"Fail",'Check Results'!$E$5:$E$600,"Blocking"))</f>
        <v/>
      </c>
      <c r="K6" s="22" t="str">
        <f t="shared" si="0"/>
        <v/>
      </c>
      <c r="L6" s="23" t="str">
        <f t="shared" si="1"/>
        <v/>
      </c>
      <c r="M6" s="24"/>
    </row>
    <row r="7" spans="1:13" ht="18" customHeight="1">
      <c r="A7" s="9"/>
      <c r="B7" s="10"/>
      <c r="C7" s="11"/>
      <c r="D7" s="11"/>
      <c r="E7" s="11"/>
      <c r="F7" s="12" t="str">
        <f>IF($A7="","",COUNTIFS('Check Results'!$A$5:$A$600,$A7,'Check Results'!$F$5:$F$600,"Pass")+COUNTIFS('Check Results'!$A$5:$A$600,$A7,'Check Results'!$F$5:$F$600,"Fail")+COUNTIFS('Check Results'!$A$5:$A$600,$A7,'Check Results'!$F$5:$F$600,"N/A"))</f>
        <v/>
      </c>
      <c r="G7" s="12" t="str">
        <f>IF($A7="","",COUNTIFS('Check Results'!$A$5:$A$600,$A7,'Check Results'!$F$5:$F$600,"Pass"))</f>
        <v/>
      </c>
      <c r="H7" s="12" t="str">
        <f>IF($A7="","",COUNTIFS('Check Results'!$A$5:$A$600,$A7,'Check Results'!$F$5:$F$600,"Fail"))</f>
        <v/>
      </c>
      <c r="I7" s="12" t="str">
        <f>IF($A7="","",COUNTIFS('Check Results'!$A$5:$A$600,$A7,'Check Results'!$F$5:$F$600,"N/A"))</f>
        <v/>
      </c>
      <c r="J7" s="13" t="str">
        <f>IF($A7="","",COUNTIFS('Check Results'!$A$5:$A$600,$A7,'Check Results'!$F$5:$F$600,"Fail",'Check Results'!$E$5:$E$600,"Blocking"))</f>
        <v/>
      </c>
      <c r="K7" s="14" t="str">
        <f t="shared" si="0"/>
        <v/>
      </c>
      <c r="L7" s="15" t="str">
        <f t="shared" si="1"/>
        <v/>
      </c>
      <c r="M7" s="16"/>
    </row>
    <row r="8" spans="1:13" ht="18" customHeight="1">
      <c r="A8" s="17"/>
      <c r="B8" s="18"/>
      <c r="C8" s="19"/>
      <c r="D8" s="19"/>
      <c r="E8" s="19"/>
      <c r="F8" s="20" t="str">
        <f>IF($A8="","",COUNTIFS('Check Results'!$A$5:$A$600,$A8,'Check Results'!$F$5:$F$600,"Pass")+COUNTIFS('Check Results'!$A$5:$A$600,$A8,'Check Results'!$F$5:$F$600,"Fail")+COUNTIFS('Check Results'!$A$5:$A$600,$A8,'Check Results'!$F$5:$F$600,"N/A"))</f>
        <v/>
      </c>
      <c r="G8" s="20" t="str">
        <f>IF($A8="","",COUNTIFS('Check Results'!$A$5:$A$600,$A8,'Check Results'!$F$5:$F$600,"Pass"))</f>
        <v/>
      </c>
      <c r="H8" s="20" t="str">
        <f>IF($A8="","",COUNTIFS('Check Results'!$A$5:$A$600,$A8,'Check Results'!$F$5:$F$600,"Fail"))</f>
        <v/>
      </c>
      <c r="I8" s="20" t="str">
        <f>IF($A8="","",COUNTIFS('Check Results'!$A$5:$A$600,$A8,'Check Results'!$F$5:$F$600,"N/A"))</f>
        <v/>
      </c>
      <c r="J8" s="21" t="str">
        <f>IF($A8="","",COUNTIFS('Check Results'!$A$5:$A$600,$A8,'Check Results'!$F$5:$F$600,"Fail",'Check Results'!$E$5:$E$600,"Blocking"))</f>
        <v/>
      </c>
      <c r="K8" s="22" t="str">
        <f t="shared" si="0"/>
        <v/>
      </c>
      <c r="L8" s="23" t="str">
        <f t="shared" si="1"/>
        <v/>
      </c>
      <c r="M8" s="24"/>
    </row>
    <row r="9" spans="1:13" ht="18" customHeight="1">
      <c r="A9" s="9"/>
      <c r="B9" s="10"/>
      <c r="C9" s="11"/>
      <c r="D9" s="11"/>
      <c r="E9" s="11"/>
      <c r="F9" s="12" t="str">
        <f>IF($A9="","",COUNTIFS('Check Results'!$A$5:$A$600,$A9,'Check Results'!$F$5:$F$600,"Pass")+COUNTIFS('Check Results'!$A$5:$A$600,$A9,'Check Results'!$F$5:$F$600,"Fail")+COUNTIFS('Check Results'!$A$5:$A$600,$A9,'Check Results'!$F$5:$F$600,"N/A"))</f>
        <v/>
      </c>
      <c r="G9" s="12" t="str">
        <f>IF($A9="","",COUNTIFS('Check Results'!$A$5:$A$600,$A9,'Check Results'!$F$5:$F$600,"Pass"))</f>
        <v/>
      </c>
      <c r="H9" s="12" t="str">
        <f>IF($A9="","",COUNTIFS('Check Results'!$A$5:$A$600,$A9,'Check Results'!$F$5:$F$600,"Fail"))</f>
        <v/>
      </c>
      <c r="I9" s="12" t="str">
        <f>IF($A9="","",COUNTIFS('Check Results'!$A$5:$A$600,$A9,'Check Results'!$F$5:$F$600,"N/A"))</f>
        <v/>
      </c>
      <c r="J9" s="13" t="str">
        <f>IF($A9="","",COUNTIFS('Check Results'!$A$5:$A$600,$A9,'Check Results'!$F$5:$F$600,"Fail",'Check Results'!$E$5:$E$600,"Blocking"))</f>
        <v/>
      </c>
      <c r="K9" s="14" t="str">
        <f t="shared" si="0"/>
        <v/>
      </c>
      <c r="L9" s="15" t="str">
        <f t="shared" si="1"/>
        <v/>
      </c>
      <c r="M9" s="16"/>
    </row>
    <row r="10" spans="1:13" ht="18" customHeight="1">
      <c r="A10" s="17"/>
      <c r="B10" s="18"/>
      <c r="C10" s="19"/>
      <c r="D10" s="19"/>
      <c r="E10" s="19"/>
      <c r="F10" s="20" t="str">
        <f>IF($A10="","",COUNTIFS('Check Results'!$A$5:$A$600,$A10,'Check Results'!$F$5:$F$600,"Pass")+COUNTIFS('Check Results'!$A$5:$A$600,$A10,'Check Results'!$F$5:$F$600,"Fail")+COUNTIFS('Check Results'!$A$5:$A$600,$A10,'Check Results'!$F$5:$F$600,"N/A"))</f>
        <v/>
      </c>
      <c r="G10" s="20" t="str">
        <f>IF($A10="","",COUNTIFS('Check Results'!$A$5:$A$600,$A10,'Check Results'!$F$5:$F$600,"Pass"))</f>
        <v/>
      </c>
      <c r="H10" s="20" t="str">
        <f>IF($A10="","",COUNTIFS('Check Results'!$A$5:$A$600,$A10,'Check Results'!$F$5:$F$600,"Fail"))</f>
        <v/>
      </c>
      <c r="I10" s="20" t="str">
        <f>IF($A10="","",COUNTIFS('Check Results'!$A$5:$A$600,$A10,'Check Results'!$F$5:$F$600,"N/A"))</f>
        <v/>
      </c>
      <c r="J10" s="21" t="str">
        <f>IF($A10="","",COUNTIFS('Check Results'!$A$5:$A$600,$A10,'Check Results'!$F$5:$F$600,"Fail",'Check Results'!$E$5:$E$600,"Blocking"))</f>
        <v/>
      </c>
      <c r="K10" s="22" t="str">
        <f t="shared" si="0"/>
        <v/>
      </c>
      <c r="L10" s="23" t="str">
        <f t="shared" si="1"/>
        <v/>
      </c>
      <c r="M10" s="24"/>
    </row>
    <row r="11" spans="1:13" ht="18" customHeight="1">
      <c r="A11" s="9"/>
      <c r="B11" s="10"/>
      <c r="C11" s="11"/>
      <c r="D11" s="11"/>
      <c r="E11" s="11"/>
      <c r="F11" s="12" t="str">
        <f>IF($A11="","",COUNTIFS('Check Results'!$A$5:$A$600,$A11,'Check Results'!$F$5:$F$600,"Pass")+COUNTIFS('Check Results'!$A$5:$A$600,$A11,'Check Results'!$F$5:$F$600,"Fail")+COUNTIFS('Check Results'!$A$5:$A$600,$A11,'Check Results'!$F$5:$F$600,"N/A"))</f>
        <v/>
      </c>
      <c r="G11" s="12" t="str">
        <f>IF($A11="","",COUNTIFS('Check Results'!$A$5:$A$600,$A11,'Check Results'!$F$5:$F$600,"Pass"))</f>
        <v/>
      </c>
      <c r="H11" s="12" t="str">
        <f>IF($A11="","",COUNTIFS('Check Results'!$A$5:$A$600,$A11,'Check Results'!$F$5:$F$600,"Fail"))</f>
        <v/>
      </c>
      <c r="I11" s="12" t="str">
        <f>IF($A11="","",COUNTIFS('Check Results'!$A$5:$A$600,$A11,'Check Results'!$F$5:$F$600,"N/A"))</f>
        <v/>
      </c>
      <c r="J11" s="13" t="str">
        <f>IF($A11="","",COUNTIFS('Check Results'!$A$5:$A$600,$A11,'Check Results'!$F$5:$F$600,"Fail",'Check Results'!$E$5:$E$600,"Blocking"))</f>
        <v/>
      </c>
      <c r="K11" s="14" t="str">
        <f t="shared" si="0"/>
        <v/>
      </c>
      <c r="L11" s="15" t="str">
        <f t="shared" si="1"/>
        <v/>
      </c>
      <c r="M11" s="16"/>
    </row>
    <row r="12" spans="1:13" ht="18" customHeight="1">
      <c r="A12" s="17"/>
      <c r="B12" s="18"/>
      <c r="C12" s="19"/>
      <c r="D12" s="19"/>
      <c r="E12" s="19"/>
      <c r="F12" s="20" t="str">
        <f>IF($A12="","",COUNTIFS('Check Results'!$A$5:$A$600,$A12,'Check Results'!$F$5:$F$600,"Pass")+COUNTIFS('Check Results'!$A$5:$A$600,$A12,'Check Results'!$F$5:$F$600,"Fail")+COUNTIFS('Check Results'!$A$5:$A$600,$A12,'Check Results'!$F$5:$F$600,"N/A"))</f>
        <v/>
      </c>
      <c r="G12" s="20" t="str">
        <f>IF($A12="","",COUNTIFS('Check Results'!$A$5:$A$600,$A12,'Check Results'!$F$5:$F$600,"Pass"))</f>
        <v/>
      </c>
      <c r="H12" s="20" t="str">
        <f>IF($A12="","",COUNTIFS('Check Results'!$A$5:$A$600,$A12,'Check Results'!$F$5:$F$600,"Fail"))</f>
        <v/>
      </c>
      <c r="I12" s="20" t="str">
        <f>IF($A12="","",COUNTIFS('Check Results'!$A$5:$A$600,$A12,'Check Results'!$F$5:$F$600,"N/A"))</f>
        <v/>
      </c>
      <c r="J12" s="21" t="str">
        <f>IF($A12="","",COUNTIFS('Check Results'!$A$5:$A$600,$A12,'Check Results'!$F$5:$F$600,"Fail",'Check Results'!$E$5:$E$600,"Blocking"))</f>
        <v/>
      </c>
      <c r="K12" s="22" t="str">
        <f t="shared" si="0"/>
        <v/>
      </c>
      <c r="L12" s="23" t="str">
        <f t="shared" si="1"/>
        <v/>
      </c>
      <c r="M12" s="24"/>
    </row>
    <row r="13" spans="1:13" ht="18" customHeight="1">
      <c r="A13" s="9"/>
      <c r="B13" s="10"/>
      <c r="C13" s="11"/>
      <c r="D13" s="11"/>
      <c r="E13" s="11"/>
      <c r="F13" s="12" t="str">
        <f>IF($A13="","",COUNTIFS('Check Results'!$A$5:$A$600,$A13,'Check Results'!$F$5:$F$600,"Pass")+COUNTIFS('Check Results'!$A$5:$A$600,$A13,'Check Results'!$F$5:$F$600,"Fail")+COUNTIFS('Check Results'!$A$5:$A$600,$A13,'Check Results'!$F$5:$F$600,"N/A"))</f>
        <v/>
      </c>
      <c r="G13" s="12" t="str">
        <f>IF($A13="","",COUNTIFS('Check Results'!$A$5:$A$600,$A13,'Check Results'!$F$5:$F$600,"Pass"))</f>
        <v/>
      </c>
      <c r="H13" s="12" t="str">
        <f>IF($A13="","",COUNTIFS('Check Results'!$A$5:$A$600,$A13,'Check Results'!$F$5:$F$600,"Fail"))</f>
        <v/>
      </c>
      <c r="I13" s="12" t="str">
        <f>IF($A13="","",COUNTIFS('Check Results'!$A$5:$A$600,$A13,'Check Results'!$F$5:$F$600,"N/A"))</f>
        <v/>
      </c>
      <c r="J13" s="13" t="str">
        <f>IF($A13="","",COUNTIFS('Check Results'!$A$5:$A$600,$A13,'Check Results'!$F$5:$F$600,"Fail",'Check Results'!$E$5:$E$600,"Blocking"))</f>
        <v/>
      </c>
      <c r="K13" s="14" t="str">
        <f t="shared" si="0"/>
        <v/>
      </c>
      <c r="L13" s="15" t="str">
        <f t="shared" si="1"/>
        <v/>
      </c>
      <c r="M13" s="16"/>
    </row>
    <row r="14" spans="1:13" ht="18" customHeight="1">
      <c r="A14" s="17"/>
      <c r="B14" s="18"/>
      <c r="C14" s="19"/>
      <c r="D14" s="19"/>
      <c r="E14" s="19"/>
      <c r="F14" s="20" t="str">
        <f>IF($A14="","",COUNTIFS('Check Results'!$A$5:$A$600,$A14,'Check Results'!$F$5:$F$600,"Pass")+COUNTIFS('Check Results'!$A$5:$A$600,$A14,'Check Results'!$F$5:$F$600,"Fail")+COUNTIFS('Check Results'!$A$5:$A$600,$A14,'Check Results'!$F$5:$F$600,"N/A"))</f>
        <v/>
      </c>
      <c r="G14" s="20" t="str">
        <f>IF($A14="","",COUNTIFS('Check Results'!$A$5:$A$600,$A14,'Check Results'!$F$5:$F$600,"Pass"))</f>
        <v/>
      </c>
      <c r="H14" s="20" t="str">
        <f>IF($A14="","",COUNTIFS('Check Results'!$A$5:$A$600,$A14,'Check Results'!$F$5:$F$600,"Fail"))</f>
        <v/>
      </c>
      <c r="I14" s="20" t="str">
        <f>IF($A14="","",COUNTIFS('Check Results'!$A$5:$A$600,$A14,'Check Results'!$F$5:$F$600,"N/A"))</f>
        <v/>
      </c>
      <c r="J14" s="21" t="str">
        <f>IF($A14="","",COUNTIFS('Check Results'!$A$5:$A$600,$A14,'Check Results'!$F$5:$F$600,"Fail",'Check Results'!$E$5:$E$600,"Blocking"))</f>
        <v/>
      </c>
      <c r="K14" s="22" t="str">
        <f t="shared" si="0"/>
        <v/>
      </c>
      <c r="L14" s="23" t="str">
        <f t="shared" si="1"/>
        <v/>
      </c>
      <c r="M14" s="24"/>
    </row>
    <row r="15" spans="1:13" ht="18" customHeight="1">
      <c r="A15" s="9"/>
      <c r="B15" s="10"/>
      <c r="C15" s="11"/>
      <c r="D15" s="11"/>
      <c r="E15" s="11"/>
      <c r="F15" s="12" t="str">
        <f>IF($A15="","",COUNTIFS('Check Results'!$A$5:$A$600,$A15,'Check Results'!$F$5:$F$600,"Pass")+COUNTIFS('Check Results'!$A$5:$A$600,$A15,'Check Results'!$F$5:$F$600,"Fail")+COUNTIFS('Check Results'!$A$5:$A$600,$A15,'Check Results'!$F$5:$F$600,"N/A"))</f>
        <v/>
      </c>
      <c r="G15" s="12" t="str">
        <f>IF($A15="","",COUNTIFS('Check Results'!$A$5:$A$600,$A15,'Check Results'!$F$5:$F$600,"Pass"))</f>
        <v/>
      </c>
      <c r="H15" s="12" t="str">
        <f>IF($A15="","",COUNTIFS('Check Results'!$A$5:$A$600,$A15,'Check Results'!$F$5:$F$600,"Fail"))</f>
        <v/>
      </c>
      <c r="I15" s="12" t="str">
        <f>IF($A15="","",COUNTIFS('Check Results'!$A$5:$A$600,$A15,'Check Results'!$F$5:$F$600,"N/A"))</f>
        <v/>
      </c>
      <c r="J15" s="13" t="str">
        <f>IF($A15="","",COUNTIFS('Check Results'!$A$5:$A$600,$A15,'Check Results'!$F$5:$F$600,"Fail",'Check Results'!$E$5:$E$600,"Blocking"))</f>
        <v/>
      </c>
      <c r="K15" s="14" t="str">
        <f t="shared" si="0"/>
        <v/>
      </c>
      <c r="L15" s="15" t="str">
        <f t="shared" si="1"/>
        <v/>
      </c>
      <c r="M15" s="16"/>
    </row>
    <row r="16" spans="1:13" ht="18" customHeight="1">
      <c r="A16" s="17"/>
      <c r="B16" s="18"/>
      <c r="C16" s="19"/>
      <c r="D16" s="19"/>
      <c r="E16" s="19"/>
      <c r="F16" s="20" t="str">
        <f>IF($A16="","",COUNTIFS('Check Results'!$A$5:$A$600,$A16,'Check Results'!$F$5:$F$600,"Pass")+COUNTIFS('Check Results'!$A$5:$A$600,$A16,'Check Results'!$F$5:$F$600,"Fail")+COUNTIFS('Check Results'!$A$5:$A$600,$A16,'Check Results'!$F$5:$F$600,"N/A"))</f>
        <v/>
      </c>
      <c r="G16" s="20" t="str">
        <f>IF($A16="","",COUNTIFS('Check Results'!$A$5:$A$600,$A16,'Check Results'!$F$5:$F$600,"Pass"))</f>
        <v/>
      </c>
      <c r="H16" s="20" t="str">
        <f>IF($A16="","",COUNTIFS('Check Results'!$A$5:$A$600,$A16,'Check Results'!$F$5:$F$600,"Fail"))</f>
        <v/>
      </c>
      <c r="I16" s="20" t="str">
        <f>IF($A16="","",COUNTIFS('Check Results'!$A$5:$A$600,$A16,'Check Results'!$F$5:$F$600,"N/A"))</f>
        <v/>
      </c>
      <c r="J16" s="21" t="str">
        <f>IF($A16="","",COUNTIFS('Check Results'!$A$5:$A$600,$A16,'Check Results'!$F$5:$F$600,"Fail",'Check Results'!$E$5:$E$600,"Blocking"))</f>
        <v/>
      </c>
      <c r="K16" s="22" t="str">
        <f t="shared" si="0"/>
        <v/>
      </c>
      <c r="L16" s="23" t="str">
        <f t="shared" si="1"/>
        <v/>
      </c>
      <c r="M16" s="24"/>
    </row>
    <row r="17" spans="1:13" ht="18" customHeight="1">
      <c r="A17" s="9"/>
      <c r="B17" s="10"/>
      <c r="C17" s="11"/>
      <c r="D17" s="11"/>
      <c r="E17" s="11"/>
      <c r="F17" s="12" t="str">
        <f>IF($A17="","",COUNTIFS('Check Results'!$A$5:$A$600,$A17,'Check Results'!$F$5:$F$600,"Pass")+COUNTIFS('Check Results'!$A$5:$A$600,$A17,'Check Results'!$F$5:$F$600,"Fail")+COUNTIFS('Check Results'!$A$5:$A$600,$A17,'Check Results'!$F$5:$F$600,"N/A"))</f>
        <v/>
      </c>
      <c r="G17" s="12" t="str">
        <f>IF($A17="","",COUNTIFS('Check Results'!$A$5:$A$600,$A17,'Check Results'!$F$5:$F$600,"Pass"))</f>
        <v/>
      </c>
      <c r="H17" s="12" t="str">
        <f>IF($A17="","",COUNTIFS('Check Results'!$A$5:$A$600,$A17,'Check Results'!$F$5:$F$600,"Fail"))</f>
        <v/>
      </c>
      <c r="I17" s="12" t="str">
        <f>IF($A17="","",COUNTIFS('Check Results'!$A$5:$A$600,$A17,'Check Results'!$F$5:$F$600,"N/A"))</f>
        <v/>
      </c>
      <c r="J17" s="13" t="str">
        <f>IF($A17="","",COUNTIFS('Check Results'!$A$5:$A$600,$A17,'Check Results'!$F$5:$F$600,"Fail",'Check Results'!$E$5:$E$600,"Blocking"))</f>
        <v/>
      </c>
      <c r="K17" s="14" t="str">
        <f t="shared" si="0"/>
        <v/>
      </c>
      <c r="L17" s="15" t="str">
        <f t="shared" si="1"/>
        <v/>
      </c>
      <c r="M17" s="16"/>
    </row>
    <row r="18" spans="1:13" ht="18" customHeight="1">
      <c r="A18" s="17"/>
      <c r="B18" s="18"/>
      <c r="C18" s="19"/>
      <c r="D18" s="19"/>
      <c r="E18" s="19"/>
      <c r="F18" s="20" t="str">
        <f>IF($A18="","",COUNTIFS('Check Results'!$A$5:$A$600,$A18,'Check Results'!$F$5:$F$600,"Pass")+COUNTIFS('Check Results'!$A$5:$A$600,$A18,'Check Results'!$F$5:$F$600,"Fail")+COUNTIFS('Check Results'!$A$5:$A$600,$A18,'Check Results'!$F$5:$F$600,"N/A"))</f>
        <v/>
      </c>
      <c r="G18" s="20" t="str">
        <f>IF($A18="","",COUNTIFS('Check Results'!$A$5:$A$600,$A18,'Check Results'!$F$5:$F$600,"Pass"))</f>
        <v/>
      </c>
      <c r="H18" s="20" t="str">
        <f>IF($A18="","",COUNTIFS('Check Results'!$A$5:$A$600,$A18,'Check Results'!$F$5:$F$600,"Fail"))</f>
        <v/>
      </c>
      <c r="I18" s="20" t="str">
        <f>IF($A18="","",COUNTIFS('Check Results'!$A$5:$A$600,$A18,'Check Results'!$F$5:$F$600,"N/A"))</f>
        <v/>
      </c>
      <c r="J18" s="21" t="str">
        <f>IF($A18="","",COUNTIFS('Check Results'!$A$5:$A$600,$A18,'Check Results'!$F$5:$F$600,"Fail",'Check Results'!$E$5:$E$600,"Blocking"))</f>
        <v/>
      </c>
      <c r="K18" s="22" t="str">
        <f t="shared" si="0"/>
        <v/>
      </c>
      <c r="L18" s="23" t="str">
        <f t="shared" si="1"/>
        <v/>
      </c>
      <c r="M18" s="24"/>
    </row>
    <row r="19" spans="1:13" ht="18" customHeight="1">
      <c r="A19" s="9"/>
      <c r="B19" s="10"/>
      <c r="C19" s="11"/>
      <c r="D19" s="11"/>
      <c r="E19" s="11"/>
      <c r="F19" s="12" t="str">
        <f>IF($A19="","",COUNTIFS('Check Results'!$A$5:$A$600,$A19,'Check Results'!$F$5:$F$600,"Pass")+COUNTIFS('Check Results'!$A$5:$A$600,$A19,'Check Results'!$F$5:$F$600,"Fail")+COUNTIFS('Check Results'!$A$5:$A$600,$A19,'Check Results'!$F$5:$F$600,"N/A"))</f>
        <v/>
      </c>
      <c r="G19" s="12" t="str">
        <f>IF($A19="","",COUNTIFS('Check Results'!$A$5:$A$600,$A19,'Check Results'!$F$5:$F$600,"Pass"))</f>
        <v/>
      </c>
      <c r="H19" s="12" t="str">
        <f>IF($A19="","",COUNTIFS('Check Results'!$A$5:$A$600,$A19,'Check Results'!$F$5:$F$600,"Fail"))</f>
        <v/>
      </c>
      <c r="I19" s="12" t="str">
        <f>IF($A19="","",COUNTIFS('Check Results'!$A$5:$A$600,$A19,'Check Results'!$F$5:$F$600,"N/A"))</f>
        <v/>
      </c>
      <c r="J19" s="13" t="str">
        <f>IF($A19="","",COUNTIFS('Check Results'!$A$5:$A$600,$A19,'Check Results'!$F$5:$F$600,"Fail",'Check Results'!$E$5:$E$600,"Blocking"))</f>
        <v/>
      </c>
      <c r="K19" s="14" t="str">
        <f t="shared" si="0"/>
        <v/>
      </c>
      <c r="L19" s="15" t="str">
        <f t="shared" si="1"/>
        <v/>
      </c>
      <c r="M19" s="16"/>
    </row>
    <row r="20" spans="1:13" ht="18" customHeight="1">
      <c r="A20" s="17"/>
      <c r="B20" s="18"/>
      <c r="C20" s="19"/>
      <c r="D20" s="19"/>
      <c r="E20" s="19"/>
      <c r="F20" s="20" t="str">
        <f>IF($A20="","",COUNTIFS('Check Results'!$A$5:$A$600,$A20,'Check Results'!$F$5:$F$600,"Pass")+COUNTIFS('Check Results'!$A$5:$A$600,$A20,'Check Results'!$F$5:$F$600,"Fail")+COUNTIFS('Check Results'!$A$5:$A$600,$A20,'Check Results'!$F$5:$F$600,"N/A"))</f>
        <v/>
      </c>
      <c r="G20" s="20" t="str">
        <f>IF($A20="","",COUNTIFS('Check Results'!$A$5:$A$600,$A20,'Check Results'!$F$5:$F$600,"Pass"))</f>
        <v/>
      </c>
      <c r="H20" s="20" t="str">
        <f>IF($A20="","",COUNTIFS('Check Results'!$A$5:$A$600,$A20,'Check Results'!$F$5:$F$600,"Fail"))</f>
        <v/>
      </c>
      <c r="I20" s="20" t="str">
        <f>IF($A20="","",COUNTIFS('Check Results'!$A$5:$A$600,$A20,'Check Results'!$F$5:$F$600,"N/A"))</f>
        <v/>
      </c>
      <c r="J20" s="21" t="str">
        <f>IF($A20="","",COUNTIFS('Check Results'!$A$5:$A$600,$A20,'Check Results'!$F$5:$F$600,"Fail",'Check Results'!$E$5:$E$600,"Blocking"))</f>
        <v/>
      </c>
      <c r="K20" s="22" t="str">
        <f t="shared" si="0"/>
        <v/>
      </c>
      <c r="L20" s="23" t="str">
        <f t="shared" si="1"/>
        <v/>
      </c>
      <c r="M20" s="24"/>
    </row>
    <row r="21" spans="1:13" ht="18" customHeight="1">
      <c r="A21" s="9"/>
      <c r="B21" s="10"/>
      <c r="C21" s="11"/>
      <c r="D21" s="11"/>
      <c r="E21" s="11"/>
      <c r="F21" s="12" t="str">
        <f>IF($A21="","",COUNTIFS('Check Results'!$A$5:$A$600,$A21,'Check Results'!$F$5:$F$600,"Pass")+COUNTIFS('Check Results'!$A$5:$A$600,$A21,'Check Results'!$F$5:$F$600,"Fail")+COUNTIFS('Check Results'!$A$5:$A$600,$A21,'Check Results'!$F$5:$F$600,"N/A"))</f>
        <v/>
      </c>
      <c r="G21" s="12" t="str">
        <f>IF($A21="","",COUNTIFS('Check Results'!$A$5:$A$600,$A21,'Check Results'!$F$5:$F$600,"Pass"))</f>
        <v/>
      </c>
      <c r="H21" s="12" t="str">
        <f>IF($A21="","",COUNTIFS('Check Results'!$A$5:$A$600,$A21,'Check Results'!$F$5:$F$600,"Fail"))</f>
        <v/>
      </c>
      <c r="I21" s="12" t="str">
        <f>IF($A21="","",COUNTIFS('Check Results'!$A$5:$A$600,$A21,'Check Results'!$F$5:$F$600,"N/A"))</f>
        <v/>
      </c>
      <c r="J21" s="13" t="str">
        <f>IF($A21="","",COUNTIFS('Check Results'!$A$5:$A$600,$A21,'Check Results'!$F$5:$F$600,"Fail",'Check Results'!$E$5:$E$600,"Blocking"))</f>
        <v/>
      </c>
      <c r="K21" s="14" t="str">
        <f t="shared" si="0"/>
        <v/>
      </c>
      <c r="L21" s="15" t="str">
        <f t="shared" si="1"/>
        <v/>
      </c>
      <c r="M21" s="16"/>
    </row>
    <row r="22" spans="1:13" ht="18" customHeight="1">
      <c r="A22" s="17"/>
      <c r="B22" s="18"/>
      <c r="C22" s="19"/>
      <c r="D22" s="19"/>
      <c r="E22" s="19"/>
      <c r="F22" s="20" t="str">
        <f>IF($A22="","",COUNTIFS('Check Results'!$A$5:$A$600,$A22,'Check Results'!$F$5:$F$600,"Pass")+COUNTIFS('Check Results'!$A$5:$A$600,$A22,'Check Results'!$F$5:$F$600,"Fail")+COUNTIFS('Check Results'!$A$5:$A$600,$A22,'Check Results'!$F$5:$F$600,"N/A"))</f>
        <v/>
      </c>
      <c r="G22" s="20" t="str">
        <f>IF($A22="","",COUNTIFS('Check Results'!$A$5:$A$600,$A22,'Check Results'!$F$5:$F$600,"Pass"))</f>
        <v/>
      </c>
      <c r="H22" s="20" t="str">
        <f>IF($A22="","",COUNTIFS('Check Results'!$A$5:$A$600,$A22,'Check Results'!$F$5:$F$600,"Fail"))</f>
        <v/>
      </c>
      <c r="I22" s="20" t="str">
        <f>IF($A22="","",COUNTIFS('Check Results'!$A$5:$A$600,$A22,'Check Results'!$F$5:$F$600,"N/A"))</f>
        <v/>
      </c>
      <c r="J22" s="21" t="str">
        <f>IF($A22="","",COUNTIFS('Check Results'!$A$5:$A$600,$A22,'Check Results'!$F$5:$F$600,"Fail",'Check Results'!$E$5:$E$600,"Blocking"))</f>
        <v/>
      </c>
      <c r="K22" s="22" t="str">
        <f t="shared" si="0"/>
        <v/>
      </c>
      <c r="L22" s="23" t="str">
        <f t="shared" si="1"/>
        <v/>
      </c>
      <c r="M22" s="24"/>
    </row>
    <row r="23" spans="1:13" ht="18" customHeight="1">
      <c r="A23" s="9"/>
      <c r="B23" s="10"/>
      <c r="C23" s="11"/>
      <c r="D23" s="11"/>
      <c r="E23" s="11"/>
      <c r="F23" s="12" t="str">
        <f>IF($A23="","",COUNTIFS('Check Results'!$A$5:$A$600,$A23,'Check Results'!$F$5:$F$600,"Pass")+COUNTIFS('Check Results'!$A$5:$A$600,$A23,'Check Results'!$F$5:$F$600,"Fail")+COUNTIFS('Check Results'!$A$5:$A$600,$A23,'Check Results'!$F$5:$F$600,"N/A"))</f>
        <v/>
      </c>
      <c r="G23" s="12" t="str">
        <f>IF($A23="","",COUNTIFS('Check Results'!$A$5:$A$600,$A23,'Check Results'!$F$5:$F$600,"Pass"))</f>
        <v/>
      </c>
      <c r="H23" s="12" t="str">
        <f>IF($A23="","",COUNTIFS('Check Results'!$A$5:$A$600,$A23,'Check Results'!$F$5:$F$600,"Fail"))</f>
        <v/>
      </c>
      <c r="I23" s="12" t="str">
        <f>IF($A23="","",COUNTIFS('Check Results'!$A$5:$A$600,$A23,'Check Results'!$F$5:$F$600,"N/A"))</f>
        <v/>
      </c>
      <c r="J23" s="13" t="str">
        <f>IF($A23="","",COUNTIFS('Check Results'!$A$5:$A$600,$A23,'Check Results'!$F$5:$F$600,"Fail",'Check Results'!$E$5:$E$600,"Blocking"))</f>
        <v/>
      </c>
      <c r="K23" s="14" t="str">
        <f t="shared" si="0"/>
        <v/>
      </c>
      <c r="L23" s="15" t="str">
        <f t="shared" si="1"/>
        <v/>
      </c>
      <c r="M23" s="16"/>
    </row>
    <row r="24" spans="1:13" ht="18" customHeight="1">
      <c r="A24" s="17"/>
      <c r="B24" s="18"/>
      <c r="C24" s="19"/>
      <c r="D24" s="19"/>
      <c r="E24" s="19"/>
      <c r="F24" s="20" t="str">
        <f>IF($A24="","",COUNTIFS('Check Results'!$A$5:$A$600,$A24,'Check Results'!$F$5:$F$600,"Pass")+COUNTIFS('Check Results'!$A$5:$A$600,$A24,'Check Results'!$F$5:$F$600,"Fail")+COUNTIFS('Check Results'!$A$5:$A$600,$A24,'Check Results'!$F$5:$F$600,"N/A"))</f>
        <v/>
      </c>
      <c r="G24" s="20" t="str">
        <f>IF($A24="","",COUNTIFS('Check Results'!$A$5:$A$600,$A24,'Check Results'!$F$5:$F$600,"Pass"))</f>
        <v/>
      </c>
      <c r="H24" s="20" t="str">
        <f>IF($A24="","",COUNTIFS('Check Results'!$A$5:$A$600,$A24,'Check Results'!$F$5:$F$600,"Fail"))</f>
        <v/>
      </c>
      <c r="I24" s="20" t="str">
        <f>IF($A24="","",COUNTIFS('Check Results'!$A$5:$A$600,$A24,'Check Results'!$F$5:$F$600,"N/A"))</f>
        <v/>
      </c>
      <c r="J24" s="21" t="str">
        <f>IF($A24="","",COUNTIFS('Check Results'!$A$5:$A$600,$A24,'Check Results'!$F$5:$F$600,"Fail",'Check Results'!$E$5:$E$600,"Blocking"))</f>
        <v/>
      </c>
      <c r="K24" s="22" t="str">
        <f t="shared" si="0"/>
        <v/>
      </c>
      <c r="L24" s="23" t="str">
        <f t="shared" si="1"/>
        <v/>
      </c>
      <c r="M24" s="24"/>
    </row>
    <row r="25" spans="1:13" ht="18" customHeight="1">
      <c r="A25" s="9"/>
      <c r="B25" s="10"/>
      <c r="C25" s="11"/>
      <c r="D25" s="11"/>
      <c r="E25" s="11"/>
      <c r="F25" s="12" t="str">
        <f>IF($A25="","",COUNTIFS('Check Results'!$A$5:$A$600,$A25,'Check Results'!$F$5:$F$600,"Pass")+COUNTIFS('Check Results'!$A$5:$A$600,$A25,'Check Results'!$F$5:$F$600,"Fail")+COUNTIFS('Check Results'!$A$5:$A$600,$A25,'Check Results'!$F$5:$F$600,"N/A"))</f>
        <v/>
      </c>
      <c r="G25" s="12" t="str">
        <f>IF($A25="","",COUNTIFS('Check Results'!$A$5:$A$600,$A25,'Check Results'!$F$5:$F$600,"Pass"))</f>
        <v/>
      </c>
      <c r="H25" s="12" t="str">
        <f>IF($A25="","",COUNTIFS('Check Results'!$A$5:$A$600,$A25,'Check Results'!$F$5:$F$600,"Fail"))</f>
        <v/>
      </c>
      <c r="I25" s="12" t="str">
        <f>IF($A25="","",COUNTIFS('Check Results'!$A$5:$A$600,$A25,'Check Results'!$F$5:$F$600,"N/A"))</f>
        <v/>
      </c>
      <c r="J25" s="13" t="str">
        <f>IF($A25="","",COUNTIFS('Check Results'!$A$5:$A$600,$A25,'Check Results'!$F$5:$F$600,"Fail",'Check Results'!$E$5:$E$600,"Blocking"))</f>
        <v/>
      </c>
      <c r="K25" s="14" t="str">
        <f t="shared" si="0"/>
        <v/>
      </c>
      <c r="L25" s="15" t="str">
        <f t="shared" si="1"/>
        <v/>
      </c>
      <c r="M25" s="16"/>
    </row>
    <row r="26" spans="1:13" ht="18" customHeight="1">
      <c r="A26" s="17"/>
      <c r="B26" s="18"/>
      <c r="C26" s="19"/>
      <c r="D26" s="19"/>
      <c r="E26" s="19"/>
      <c r="F26" s="20" t="str">
        <f>IF($A26="","",COUNTIFS('Check Results'!$A$5:$A$600,$A26,'Check Results'!$F$5:$F$600,"Pass")+COUNTIFS('Check Results'!$A$5:$A$600,$A26,'Check Results'!$F$5:$F$600,"Fail")+COUNTIFS('Check Results'!$A$5:$A$600,$A26,'Check Results'!$F$5:$F$600,"N/A"))</f>
        <v/>
      </c>
      <c r="G26" s="20" t="str">
        <f>IF($A26="","",COUNTIFS('Check Results'!$A$5:$A$600,$A26,'Check Results'!$F$5:$F$600,"Pass"))</f>
        <v/>
      </c>
      <c r="H26" s="20" t="str">
        <f>IF($A26="","",COUNTIFS('Check Results'!$A$5:$A$600,$A26,'Check Results'!$F$5:$F$600,"Fail"))</f>
        <v/>
      </c>
      <c r="I26" s="20" t="str">
        <f>IF($A26="","",COUNTIFS('Check Results'!$A$5:$A$600,$A26,'Check Results'!$F$5:$F$600,"N/A"))</f>
        <v/>
      </c>
      <c r="J26" s="21" t="str">
        <f>IF($A26="","",COUNTIFS('Check Results'!$A$5:$A$600,$A26,'Check Results'!$F$5:$F$600,"Fail",'Check Results'!$E$5:$E$600,"Blocking"))</f>
        <v/>
      </c>
      <c r="K26" s="22" t="str">
        <f t="shared" si="0"/>
        <v/>
      </c>
      <c r="L26" s="23" t="str">
        <f t="shared" si="1"/>
        <v/>
      </c>
      <c r="M26" s="24"/>
    </row>
    <row r="27" spans="1:13" ht="18" customHeight="1">
      <c r="A27" s="9"/>
      <c r="B27" s="10"/>
      <c r="C27" s="11"/>
      <c r="D27" s="11"/>
      <c r="E27" s="11"/>
      <c r="F27" s="12" t="str">
        <f>IF($A27="","",COUNTIFS('Check Results'!$A$5:$A$600,$A27,'Check Results'!$F$5:$F$600,"Pass")+COUNTIFS('Check Results'!$A$5:$A$600,$A27,'Check Results'!$F$5:$F$600,"Fail")+COUNTIFS('Check Results'!$A$5:$A$600,$A27,'Check Results'!$F$5:$F$600,"N/A"))</f>
        <v/>
      </c>
      <c r="G27" s="12" t="str">
        <f>IF($A27="","",COUNTIFS('Check Results'!$A$5:$A$600,$A27,'Check Results'!$F$5:$F$600,"Pass"))</f>
        <v/>
      </c>
      <c r="H27" s="12" t="str">
        <f>IF($A27="","",COUNTIFS('Check Results'!$A$5:$A$600,$A27,'Check Results'!$F$5:$F$600,"Fail"))</f>
        <v/>
      </c>
      <c r="I27" s="12" t="str">
        <f>IF($A27="","",COUNTIFS('Check Results'!$A$5:$A$600,$A27,'Check Results'!$F$5:$F$600,"N/A"))</f>
        <v/>
      </c>
      <c r="J27" s="13" t="str">
        <f>IF($A27="","",COUNTIFS('Check Results'!$A$5:$A$600,$A27,'Check Results'!$F$5:$F$600,"Fail",'Check Results'!$E$5:$E$600,"Blocking"))</f>
        <v/>
      </c>
      <c r="K27" s="14" t="str">
        <f t="shared" si="0"/>
        <v/>
      </c>
      <c r="L27" s="15" t="str">
        <f t="shared" si="1"/>
        <v/>
      </c>
      <c r="M27" s="16"/>
    </row>
    <row r="28" spans="1:13" ht="18" customHeight="1">
      <c r="A28" s="17"/>
      <c r="B28" s="18"/>
      <c r="C28" s="19"/>
      <c r="D28" s="19"/>
      <c r="E28" s="19"/>
      <c r="F28" s="20" t="str">
        <f>IF($A28="","",COUNTIFS('Check Results'!$A$5:$A$600,$A28,'Check Results'!$F$5:$F$600,"Pass")+COUNTIFS('Check Results'!$A$5:$A$600,$A28,'Check Results'!$F$5:$F$600,"Fail")+COUNTIFS('Check Results'!$A$5:$A$600,$A28,'Check Results'!$F$5:$F$600,"N/A"))</f>
        <v/>
      </c>
      <c r="G28" s="20" t="str">
        <f>IF($A28="","",COUNTIFS('Check Results'!$A$5:$A$600,$A28,'Check Results'!$F$5:$F$600,"Pass"))</f>
        <v/>
      </c>
      <c r="H28" s="20" t="str">
        <f>IF($A28="","",COUNTIFS('Check Results'!$A$5:$A$600,$A28,'Check Results'!$F$5:$F$600,"Fail"))</f>
        <v/>
      </c>
      <c r="I28" s="20" t="str">
        <f>IF($A28="","",COUNTIFS('Check Results'!$A$5:$A$600,$A28,'Check Results'!$F$5:$F$600,"N/A"))</f>
        <v/>
      </c>
      <c r="J28" s="21" t="str">
        <f>IF($A28="","",COUNTIFS('Check Results'!$A$5:$A$600,$A28,'Check Results'!$F$5:$F$600,"Fail",'Check Results'!$E$5:$E$600,"Blocking"))</f>
        <v/>
      </c>
      <c r="K28" s="22" t="str">
        <f t="shared" si="0"/>
        <v/>
      </c>
      <c r="L28" s="23" t="str">
        <f t="shared" si="1"/>
        <v/>
      </c>
      <c r="M28" s="24"/>
    </row>
    <row r="29" spans="1:13" ht="18" customHeight="1">
      <c r="A29" s="9"/>
      <c r="B29" s="10"/>
      <c r="C29" s="11"/>
      <c r="D29" s="11"/>
      <c r="E29" s="11"/>
      <c r="F29" s="12" t="str">
        <f>IF($A29="","",COUNTIFS('Check Results'!$A$5:$A$600,$A29,'Check Results'!$F$5:$F$600,"Pass")+COUNTIFS('Check Results'!$A$5:$A$600,$A29,'Check Results'!$F$5:$F$600,"Fail")+COUNTIFS('Check Results'!$A$5:$A$600,$A29,'Check Results'!$F$5:$F$600,"N/A"))</f>
        <v/>
      </c>
      <c r="G29" s="12" t="str">
        <f>IF($A29="","",COUNTIFS('Check Results'!$A$5:$A$600,$A29,'Check Results'!$F$5:$F$600,"Pass"))</f>
        <v/>
      </c>
      <c r="H29" s="12" t="str">
        <f>IF($A29="","",COUNTIFS('Check Results'!$A$5:$A$600,$A29,'Check Results'!$F$5:$F$600,"Fail"))</f>
        <v/>
      </c>
      <c r="I29" s="12" t="str">
        <f>IF($A29="","",COUNTIFS('Check Results'!$A$5:$A$600,$A29,'Check Results'!$F$5:$F$600,"N/A"))</f>
        <v/>
      </c>
      <c r="J29" s="13" t="str">
        <f>IF($A29="","",COUNTIFS('Check Results'!$A$5:$A$600,$A29,'Check Results'!$F$5:$F$600,"Fail",'Check Results'!$E$5:$E$600,"Blocking"))</f>
        <v/>
      </c>
      <c r="K29" s="14" t="str">
        <f t="shared" si="0"/>
        <v/>
      </c>
      <c r="L29" s="15" t="str">
        <f t="shared" si="1"/>
        <v/>
      </c>
      <c r="M29" s="16"/>
    </row>
    <row r="30" spans="1:13" ht="18" customHeight="1">
      <c r="A30" s="17"/>
      <c r="B30" s="18"/>
      <c r="C30" s="19"/>
      <c r="D30" s="19"/>
      <c r="E30" s="19"/>
      <c r="F30" s="20" t="str">
        <f>IF($A30="","",COUNTIFS('Check Results'!$A$5:$A$600,$A30,'Check Results'!$F$5:$F$600,"Pass")+COUNTIFS('Check Results'!$A$5:$A$600,$A30,'Check Results'!$F$5:$F$600,"Fail")+COUNTIFS('Check Results'!$A$5:$A$600,$A30,'Check Results'!$F$5:$F$600,"N/A"))</f>
        <v/>
      </c>
      <c r="G30" s="20" t="str">
        <f>IF($A30="","",COUNTIFS('Check Results'!$A$5:$A$600,$A30,'Check Results'!$F$5:$F$600,"Pass"))</f>
        <v/>
      </c>
      <c r="H30" s="20" t="str">
        <f>IF($A30="","",COUNTIFS('Check Results'!$A$5:$A$600,$A30,'Check Results'!$F$5:$F$600,"Fail"))</f>
        <v/>
      </c>
      <c r="I30" s="20" t="str">
        <f>IF($A30="","",COUNTIFS('Check Results'!$A$5:$A$600,$A30,'Check Results'!$F$5:$F$600,"N/A"))</f>
        <v/>
      </c>
      <c r="J30" s="21" t="str">
        <f>IF($A30="","",COUNTIFS('Check Results'!$A$5:$A$600,$A30,'Check Results'!$F$5:$F$600,"Fail",'Check Results'!$E$5:$E$600,"Blocking"))</f>
        <v/>
      </c>
      <c r="K30" s="22" t="str">
        <f t="shared" si="0"/>
        <v/>
      </c>
      <c r="L30" s="23" t="str">
        <f t="shared" si="1"/>
        <v/>
      </c>
      <c r="M30" s="24"/>
    </row>
    <row r="31" spans="1:13" ht="18" customHeight="1">
      <c r="A31" s="9"/>
      <c r="B31" s="10"/>
      <c r="C31" s="11"/>
      <c r="D31" s="11"/>
      <c r="E31" s="11"/>
      <c r="F31" s="12" t="str">
        <f>IF($A31="","",COUNTIFS('Check Results'!$A$5:$A$600,$A31,'Check Results'!$F$5:$F$600,"Pass")+COUNTIFS('Check Results'!$A$5:$A$600,$A31,'Check Results'!$F$5:$F$600,"Fail")+COUNTIFS('Check Results'!$A$5:$A$600,$A31,'Check Results'!$F$5:$F$600,"N/A"))</f>
        <v/>
      </c>
      <c r="G31" s="12" t="str">
        <f>IF($A31="","",COUNTIFS('Check Results'!$A$5:$A$600,$A31,'Check Results'!$F$5:$F$600,"Pass"))</f>
        <v/>
      </c>
      <c r="H31" s="12" t="str">
        <f>IF($A31="","",COUNTIFS('Check Results'!$A$5:$A$600,$A31,'Check Results'!$F$5:$F$600,"Fail"))</f>
        <v/>
      </c>
      <c r="I31" s="12" t="str">
        <f>IF($A31="","",COUNTIFS('Check Results'!$A$5:$A$600,$A31,'Check Results'!$F$5:$F$600,"N/A"))</f>
        <v/>
      </c>
      <c r="J31" s="13" t="str">
        <f>IF($A31="","",COUNTIFS('Check Results'!$A$5:$A$600,$A31,'Check Results'!$F$5:$F$600,"Fail",'Check Results'!$E$5:$E$600,"Blocking"))</f>
        <v/>
      </c>
      <c r="K31" s="14" t="str">
        <f t="shared" si="0"/>
        <v/>
      </c>
      <c r="L31" s="15" t="str">
        <f t="shared" si="1"/>
        <v/>
      </c>
      <c r="M31" s="16"/>
    </row>
    <row r="32" spans="1:13" ht="18" customHeight="1">
      <c r="A32" s="17"/>
      <c r="B32" s="18"/>
      <c r="C32" s="19"/>
      <c r="D32" s="19"/>
      <c r="E32" s="19"/>
      <c r="F32" s="20" t="str">
        <f>IF($A32="","",COUNTIFS('Check Results'!$A$5:$A$600,$A32,'Check Results'!$F$5:$F$600,"Pass")+COUNTIFS('Check Results'!$A$5:$A$600,$A32,'Check Results'!$F$5:$F$600,"Fail")+COUNTIFS('Check Results'!$A$5:$A$600,$A32,'Check Results'!$F$5:$F$600,"N/A"))</f>
        <v/>
      </c>
      <c r="G32" s="20" t="str">
        <f>IF($A32="","",COUNTIFS('Check Results'!$A$5:$A$600,$A32,'Check Results'!$F$5:$F$600,"Pass"))</f>
        <v/>
      </c>
      <c r="H32" s="20" t="str">
        <f>IF($A32="","",COUNTIFS('Check Results'!$A$5:$A$600,$A32,'Check Results'!$F$5:$F$600,"Fail"))</f>
        <v/>
      </c>
      <c r="I32" s="20" t="str">
        <f>IF($A32="","",COUNTIFS('Check Results'!$A$5:$A$600,$A32,'Check Results'!$F$5:$F$600,"N/A"))</f>
        <v/>
      </c>
      <c r="J32" s="21" t="str">
        <f>IF($A32="","",COUNTIFS('Check Results'!$A$5:$A$600,$A32,'Check Results'!$F$5:$F$600,"Fail",'Check Results'!$E$5:$E$600,"Blocking"))</f>
        <v/>
      </c>
      <c r="K32" s="22" t="str">
        <f t="shared" si="0"/>
        <v/>
      </c>
      <c r="L32" s="23" t="str">
        <f t="shared" si="1"/>
        <v/>
      </c>
      <c r="M32" s="24"/>
    </row>
    <row r="33" spans="1:13" ht="18" customHeight="1">
      <c r="A33" s="9"/>
      <c r="B33" s="10"/>
      <c r="C33" s="11"/>
      <c r="D33" s="11"/>
      <c r="E33" s="11"/>
      <c r="F33" s="12" t="str">
        <f>IF($A33="","",COUNTIFS('Check Results'!$A$5:$A$600,$A33,'Check Results'!$F$5:$F$600,"Pass")+COUNTIFS('Check Results'!$A$5:$A$600,$A33,'Check Results'!$F$5:$F$600,"Fail")+COUNTIFS('Check Results'!$A$5:$A$600,$A33,'Check Results'!$F$5:$F$600,"N/A"))</f>
        <v/>
      </c>
      <c r="G33" s="12" t="str">
        <f>IF($A33="","",COUNTIFS('Check Results'!$A$5:$A$600,$A33,'Check Results'!$F$5:$F$600,"Pass"))</f>
        <v/>
      </c>
      <c r="H33" s="12" t="str">
        <f>IF($A33="","",COUNTIFS('Check Results'!$A$5:$A$600,$A33,'Check Results'!$F$5:$F$600,"Fail"))</f>
        <v/>
      </c>
      <c r="I33" s="12" t="str">
        <f>IF($A33="","",COUNTIFS('Check Results'!$A$5:$A$600,$A33,'Check Results'!$F$5:$F$600,"N/A"))</f>
        <v/>
      </c>
      <c r="J33" s="13" t="str">
        <f>IF($A33="","",COUNTIFS('Check Results'!$A$5:$A$600,$A33,'Check Results'!$F$5:$F$600,"Fail",'Check Results'!$E$5:$E$600,"Blocking"))</f>
        <v/>
      </c>
      <c r="K33" s="14" t="str">
        <f t="shared" si="0"/>
        <v/>
      </c>
      <c r="L33" s="15" t="str">
        <f t="shared" si="1"/>
        <v/>
      </c>
      <c r="M33" s="16"/>
    </row>
    <row r="34" spans="1:13" ht="18" customHeight="1">
      <c r="A34" s="17"/>
      <c r="B34" s="18"/>
      <c r="C34" s="19"/>
      <c r="D34" s="19"/>
      <c r="E34" s="19"/>
      <c r="F34" s="20" t="str">
        <f>IF($A34="","",COUNTIFS('Check Results'!$A$5:$A$600,$A34,'Check Results'!$F$5:$F$600,"Pass")+COUNTIFS('Check Results'!$A$5:$A$600,$A34,'Check Results'!$F$5:$F$600,"Fail")+COUNTIFS('Check Results'!$A$5:$A$600,$A34,'Check Results'!$F$5:$F$600,"N/A"))</f>
        <v/>
      </c>
      <c r="G34" s="20" t="str">
        <f>IF($A34="","",COUNTIFS('Check Results'!$A$5:$A$600,$A34,'Check Results'!$F$5:$F$600,"Pass"))</f>
        <v/>
      </c>
      <c r="H34" s="20" t="str">
        <f>IF($A34="","",COUNTIFS('Check Results'!$A$5:$A$600,$A34,'Check Results'!$F$5:$F$600,"Fail"))</f>
        <v/>
      </c>
      <c r="I34" s="20" t="str">
        <f>IF($A34="","",COUNTIFS('Check Results'!$A$5:$A$600,$A34,'Check Results'!$F$5:$F$600,"N/A"))</f>
        <v/>
      </c>
      <c r="J34" s="21" t="str">
        <f>IF($A34="","",COUNTIFS('Check Results'!$A$5:$A$600,$A34,'Check Results'!$F$5:$F$600,"Fail",'Check Results'!$E$5:$E$600,"Blocking"))</f>
        <v/>
      </c>
      <c r="K34" s="22" t="str">
        <f t="shared" si="0"/>
        <v/>
      </c>
      <c r="L34" s="23" t="str">
        <f t="shared" si="1"/>
        <v/>
      </c>
      <c r="M34" s="24"/>
    </row>
    <row r="35" spans="1:13" ht="18" customHeight="1">
      <c r="A35" s="9"/>
      <c r="B35" s="10"/>
      <c r="C35" s="11"/>
      <c r="D35" s="11"/>
      <c r="E35" s="11"/>
      <c r="F35" s="12" t="str">
        <f>IF($A35="","",COUNTIFS('Check Results'!$A$5:$A$600,$A35,'Check Results'!$F$5:$F$600,"Pass")+COUNTIFS('Check Results'!$A$5:$A$600,$A35,'Check Results'!$F$5:$F$600,"Fail")+COUNTIFS('Check Results'!$A$5:$A$600,$A35,'Check Results'!$F$5:$F$600,"N/A"))</f>
        <v/>
      </c>
      <c r="G35" s="12" t="str">
        <f>IF($A35="","",COUNTIFS('Check Results'!$A$5:$A$600,$A35,'Check Results'!$F$5:$F$600,"Pass"))</f>
        <v/>
      </c>
      <c r="H35" s="12" t="str">
        <f>IF($A35="","",COUNTIFS('Check Results'!$A$5:$A$600,$A35,'Check Results'!$F$5:$F$600,"Fail"))</f>
        <v/>
      </c>
      <c r="I35" s="12" t="str">
        <f>IF($A35="","",COUNTIFS('Check Results'!$A$5:$A$600,$A35,'Check Results'!$F$5:$F$600,"N/A"))</f>
        <v/>
      </c>
      <c r="J35" s="13" t="str">
        <f>IF($A35="","",COUNTIFS('Check Results'!$A$5:$A$600,$A35,'Check Results'!$F$5:$F$600,"Fail",'Check Results'!$E$5:$E$600,"Blocking"))</f>
        <v/>
      </c>
      <c r="K35" s="14" t="str">
        <f t="shared" si="0"/>
        <v/>
      </c>
      <c r="L35" s="15" t="str">
        <f t="shared" si="1"/>
        <v/>
      </c>
      <c r="M35" s="16"/>
    </row>
    <row r="36" spans="1:13" ht="18" customHeight="1">
      <c r="A36" s="17"/>
      <c r="B36" s="18"/>
      <c r="C36" s="19"/>
      <c r="D36" s="19"/>
      <c r="E36" s="19"/>
      <c r="F36" s="20" t="str">
        <f>IF($A36="","",COUNTIFS('Check Results'!$A$5:$A$600,$A36,'Check Results'!$F$5:$F$600,"Pass")+COUNTIFS('Check Results'!$A$5:$A$600,$A36,'Check Results'!$F$5:$F$600,"Fail")+COUNTIFS('Check Results'!$A$5:$A$600,$A36,'Check Results'!$F$5:$F$600,"N/A"))</f>
        <v/>
      </c>
      <c r="G36" s="20" t="str">
        <f>IF($A36="","",COUNTIFS('Check Results'!$A$5:$A$600,$A36,'Check Results'!$F$5:$F$600,"Pass"))</f>
        <v/>
      </c>
      <c r="H36" s="20" t="str">
        <f>IF($A36="","",COUNTIFS('Check Results'!$A$5:$A$600,$A36,'Check Results'!$F$5:$F$600,"Fail"))</f>
        <v/>
      </c>
      <c r="I36" s="20" t="str">
        <f>IF($A36="","",COUNTIFS('Check Results'!$A$5:$A$600,$A36,'Check Results'!$F$5:$F$600,"N/A"))</f>
        <v/>
      </c>
      <c r="J36" s="21" t="str">
        <f>IF($A36="","",COUNTIFS('Check Results'!$A$5:$A$600,$A36,'Check Results'!$F$5:$F$600,"Fail",'Check Results'!$E$5:$E$600,"Blocking"))</f>
        <v/>
      </c>
      <c r="K36" s="22" t="str">
        <f t="shared" si="0"/>
        <v/>
      </c>
      <c r="L36" s="23" t="str">
        <f t="shared" si="1"/>
        <v/>
      </c>
      <c r="M36" s="24"/>
    </row>
    <row r="37" spans="1:13" ht="18" customHeight="1">
      <c r="A37" s="9"/>
      <c r="B37" s="10"/>
      <c r="C37" s="11"/>
      <c r="D37" s="11"/>
      <c r="E37" s="11"/>
      <c r="F37" s="12" t="str">
        <f>IF($A37="","",COUNTIFS('Check Results'!$A$5:$A$600,$A37,'Check Results'!$F$5:$F$600,"Pass")+COUNTIFS('Check Results'!$A$5:$A$600,$A37,'Check Results'!$F$5:$F$600,"Fail")+COUNTIFS('Check Results'!$A$5:$A$600,$A37,'Check Results'!$F$5:$F$600,"N/A"))</f>
        <v/>
      </c>
      <c r="G37" s="12" t="str">
        <f>IF($A37="","",COUNTIFS('Check Results'!$A$5:$A$600,$A37,'Check Results'!$F$5:$F$600,"Pass"))</f>
        <v/>
      </c>
      <c r="H37" s="12" t="str">
        <f>IF($A37="","",COUNTIFS('Check Results'!$A$5:$A$600,$A37,'Check Results'!$F$5:$F$600,"Fail"))</f>
        <v/>
      </c>
      <c r="I37" s="12" t="str">
        <f>IF($A37="","",COUNTIFS('Check Results'!$A$5:$A$600,$A37,'Check Results'!$F$5:$F$600,"N/A"))</f>
        <v/>
      </c>
      <c r="J37" s="13" t="str">
        <f>IF($A37="","",COUNTIFS('Check Results'!$A$5:$A$600,$A37,'Check Results'!$F$5:$F$600,"Fail",'Check Results'!$E$5:$E$600,"Blocking"))</f>
        <v/>
      </c>
      <c r="K37" s="14" t="str">
        <f t="shared" ref="K37:K60" si="2">IF($A37="","",IF($G37+$H37=0,0,$G37/($G37+$H37)))</f>
        <v/>
      </c>
      <c r="L37" s="15" t="str">
        <f t="shared" ref="L37:L60" si="3">IF($A37="","",IF($J37&gt;0,"BLOCKED",IF($H37&gt;0,"PASSED WITH FAILURES — see Failure Log",IF($F37&lt;17,"INCOMPLETE — "&amp;(17-$F37)&amp;" not recorded","PASS"))))</f>
        <v/>
      </c>
      <c r="M37" s="16"/>
    </row>
    <row r="38" spans="1:13" ht="18" customHeight="1">
      <c r="A38" s="17"/>
      <c r="B38" s="18"/>
      <c r="C38" s="19"/>
      <c r="D38" s="19"/>
      <c r="E38" s="19"/>
      <c r="F38" s="20" t="str">
        <f>IF($A38="","",COUNTIFS('Check Results'!$A$5:$A$600,$A38,'Check Results'!$F$5:$F$600,"Pass")+COUNTIFS('Check Results'!$A$5:$A$600,$A38,'Check Results'!$F$5:$F$600,"Fail")+COUNTIFS('Check Results'!$A$5:$A$600,$A38,'Check Results'!$F$5:$F$600,"N/A"))</f>
        <v/>
      </c>
      <c r="G38" s="20" t="str">
        <f>IF($A38="","",COUNTIFS('Check Results'!$A$5:$A$600,$A38,'Check Results'!$F$5:$F$600,"Pass"))</f>
        <v/>
      </c>
      <c r="H38" s="20" t="str">
        <f>IF($A38="","",COUNTIFS('Check Results'!$A$5:$A$600,$A38,'Check Results'!$F$5:$F$600,"Fail"))</f>
        <v/>
      </c>
      <c r="I38" s="20" t="str">
        <f>IF($A38="","",COUNTIFS('Check Results'!$A$5:$A$600,$A38,'Check Results'!$F$5:$F$600,"N/A"))</f>
        <v/>
      </c>
      <c r="J38" s="21" t="str">
        <f>IF($A38="","",COUNTIFS('Check Results'!$A$5:$A$600,$A38,'Check Results'!$F$5:$F$600,"Fail",'Check Results'!$E$5:$E$600,"Blocking"))</f>
        <v/>
      </c>
      <c r="K38" s="22" t="str">
        <f t="shared" si="2"/>
        <v/>
      </c>
      <c r="L38" s="23" t="str">
        <f t="shared" si="3"/>
        <v/>
      </c>
      <c r="M38" s="24"/>
    </row>
    <row r="39" spans="1:13" ht="18" customHeight="1">
      <c r="A39" s="9"/>
      <c r="B39" s="10"/>
      <c r="C39" s="11"/>
      <c r="D39" s="11"/>
      <c r="E39" s="11"/>
      <c r="F39" s="12" t="str">
        <f>IF($A39="","",COUNTIFS('Check Results'!$A$5:$A$600,$A39,'Check Results'!$F$5:$F$600,"Pass")+COUNTIFS('Check Results'!$A$5:$A$600,$A39,'Check Results'!$F$5:$F$600,"Fail")+COUNTIFS('Check Results'!$A$5:$A$600,$A39,'Check Results'!$F$5:$F$600,"N/A"))</f>
        <v/>
      </c>
      <c r="G39" s="12" t="str">
        <f>IF($A39="","",COUNTIFS('Check Results'!$A$5:$A$600,$A39,'Check Results'!$F$5:$F$600,"Pass"))</f>
        <v/>
      </c>
      <c r="H39" s="12" t="str">
        <f>IF($A39="","",COUNTIFS('Check Results'!$A$5:$A$600,$A39,'Check Results'!$F$5:$F$600,"Fail"))</f>
        <v/>
      </c>
      <c r="I39" s="12" t="str">
        <f>IF($A39="","",COUNTIFS('Check Results'!$A$5:$A$600,$A39,'Check Results'!$F$5:$F$600,"N/A"))</f>
        <v/>
      </c>
      <c r="J39" s="13" t="str">
        <f>IF($A39="","",COUNTIFS('Check Results'!$A$5:$A$600,$A39,'Check Results'!$F$5:$F$600,"Fail",'Check Results'!$E$5:$E$600,"Blocking"))</f>
        <v/>
      </c>
      <c r="K39" s="14" t="str">
        <f t="shared" si="2"/>
        <v/>
      </c>
      <c r="L39" s="15" t="str">
        <f t="shared" si="3"/>
        <v/>
      </c>
      <c r="M39" s="16"/>
    </row>
    <row r="40" spans="1:13" ht="18" customHeight="1">
      <c r="A40" s="17"/>
      <c r="B40" s="18"/>
      <c r="C40" s="19"/>
      <c r="D40" s="19"/>
      <c r="E40" s="19"/>
      <c r="F40" s="20" t="str">
        <f>IF($A40="","",COUNTIFS('Check Results'!$A$5:$A$600,$A40,'Check Results'!$F$5:$F$600,"Pass")+COUNTIFS('Check Results'!$A$5:$A$600,$A40,'Check Results'!$F$5:$F$600,"Fail")+COUNTIFS('Check Results'!$A$5:$A$600,$A40,'Check Results'!$F$5:$F$600,"N/A"))</f>
        <v/>
      </c>
      <c r="G40" s="20" t="str">
        <f>IF($A40="","",COUNTIFS('Check Results'!$A$5:$A$600,$A40,'Check Results'!$F$5:$F$600,"Pass"))</f>
        <v/>
      </c>
      <c r="H40" s="20" t="str">
        <f>IF($A40="","",COUNTIFS('Check Results'!$A$5:$A$600,$A40,'Check Results'!$F$5:$F$600,"Fail"))</f>
        <v/>
      </c>
      <c r="I40" s="20" t="str">
        <f>IF($A40="","",COUNTIFS('Check Results'!$A$5:$A$600,$A40,'Check Results'!$F$5:$F$600,"N/A"))</f>
        <v/>
      </c>
      <c r="J40" s="21" t="str">
        <f>IF($A40="","",COUNTIFS('Check Results'!$A$5:$A$600,$A40,'Check Results'!$F$5:$F$600,"Fail",'Check Results'!$E$5:$E$600,"Blocking"))</f>
        <v/>
      </c>
      <c r="K40" s="22" t="str">
        <f t="shared" si="2"/>
        <v/>
      </c>
      <c r="L40" s="23" t="str">
        <f t="shared" si="3"/>
        <v/>
      </c>
      <c r="M40" s="24"/>
    </row>
    <row r="41" spans="1:13" ht="18" customHeight="1">
      <c r="A41" s="9"/>
      <c r="B41" s="10"/>
      <c r="C41" s="11"/>
      <c r="D41" s="11"/>
      <c r="E41" s="11"/>
      <c r="F41" s="12" t="str">
        <f>IF($A41="","",COUNTIFS('Check Results'!$A$5:$A$600,$A41,'Check Results'!$F$5:$F$600,"Pass")+COUNTIFS('Check Results'!$A$5:$A$600,$A41,'Check Results'!$F$5:$F$600,"Fail")+COUNTIFS('Check Results'!$A$5:$A$600,$A41,'Check Results'!$F$5:$F$600,"N/A"))</f>
        <v/>
      </c>
      <c r="G41" s="12" t="str">
        <f>IF($A41="","",COUNTIFS('Check Results'!$A$5:$A$600,$A41,'Check Results'!$F$5:$F$600,"Pass"))</f>
        <v/>
      </c>
      <c r="H41" s="12" t="str">
        <f>IF($A41="","",COUNTIFS('Check Results'!$A$5:$A$600,$A41,'Check Results'!$F$5:$F$600,"Fail"))</f>
        <v/>
      </c>
      <c r="I41" s="12" t="str">
        <f>IF($A41="","",COUNTIFS('Check Results'!$A$5:$A$600,$A41,'Check Results'!$F$5:$F$600,"N/A"))</f>
        <v/>
      </c>
      <c r="J41" s="13" t="str">
        <f>IF($A41="","",COUNTIFS('Check Results'!$A$5:$A$600,$A41,'Check Results'!$F$5:$F$600,"Fail",'Check Results'!$E$5:$E$600,"Blocking"))</f>
        <v/>
      </c>
      <c r="K41" s="14" t="str">
        <f t="shared" si="2"/>
        <v/>
      </c>
      <c r="L41" s="15" t="str">
        <f t="shared" si="3"/>
        <v/>
      </c>
      <c r="M41" s="16"/>
    </row>
    <row r="42" spans="1:13" ht="18" customHeight="1">
      <c r="A42" s="17"/>
      <c r="B42" s="18"/>
      <c r="C42" s="19"/>
      <c r="D42" s="19"/>
      <c r="E42" s="19"/>
      <c r="F42" s="20" t="str">
        <f>IF($A42="","",COUNTIFS('Check Results'!$A$5:$A$600,$A42,'Check Results'!$F$5:$F$600,"Pass")+COUNTIFS('Check Results'!$A$5:$A$600,$A42,'Check Results'!$F$5:$F$600,"Fail")+COUNTIFS('Check Results'!$A$5:$A$600,$A42,'Check Results'!$F$5:$F$600,"N/A"))</f>
        <v/>
      </c>
      <c r="G42" s="20" t="str">
        <f>IF($A42="","",COUNTIFS('Check Results'!$A$5:$A$600,$A42,'Check Results'!$F$5:$F$600,"Pass"))</f>
        <v/>
      </c>
      <c r="H42" s="20" t="str">
        <f>IF($A42="","",COUNTIFS('Check Results'!$A$5:$A$600,$A42,'Check Results'!$F$5:$F$600,"Fail"))</f>
        <v/>
      </c>
      <c r="I42" s="20" t="str">
        <f>IF($A42="","",COUNTIFS('Check Results'!$A$5:$A$600,$A42,'Check Results'!$F$5:$F$600,"N/A"))</f>
        <v/>
      </c>
      <c r="J42" s="21" t="str">
        <f>IF($A42="","",COUNTIFS('Check Results'!$A$5:$A$600,$A42,'Check Results'!$F$5:$F$600,"Fail",'Check Results'!$E$5:$E$600,"Blocking"))</f>
        <v/>
      </c>
      <c r="K42" s="22" t="str">
        <f t="shared" si="2"/>
        <v/>
      </c>
      <c r="L42" s="23" t="str">
        <f t="shared" si="3"/>
        <v/>
      </c>
      <c r="M42" s="24"/>
    </row>
    <row r="43" spans="1:13" ht="18" customHeight="1">
      <c r="A43" s="9"/>
      <c r="B43" s="10"/>
      <c r="C43" s="11"/>
      <c r="D43" s="11"/>
      <c r="E43" s="11"/>
      <c r="F43" s="12" t="str">
        <f>IF($A43="","",COUNTIFS('Check Results'!$A$5:$A$600,$A43,'Check Results'!$F$5:$F$600,"Pass")+COUNTIFS('Check Results'!$A$5:$A$600,$A43,'Check Results'!$F$5:$F$600,"Fail")+COUNTIFS('Check Results'!$A$5:$A$600,$A43,'Check Results'!$F$5:$F$600,"N/A"))</f>
        <v/>
      </c>
      <c r="G43" s="12" t="str">
        <f>IF($A43="","",COUNTIFS('Check Results'!$A$5:$A$600,$A43,'Check Results'!$F$5:$F$600,"Pass"))</f>
        <v/>
      </c>
      <c r="H43" s="12" t="str">
        <f>IF($A43="","",COUNTIFS('Check Results'!$A$5:$A$600,$A43,'Check Results'!$F$5:$F$600,"Fail"))</f>
        <v/>
      </c>
      <c r="I43" s="12" t="str">
        <f>IF($A43="","",COUNTIFS('Check Results'!$A$5:$A$600,$A43,'Check Results'!$F$5:$F$600,"N/A"))</f>
        <v/>
      </c>
      <c r="J43" s="13" t="str">
        <f>IF($A43="","",COUNTIFS('Check Results'!$A$5:$A$600,$A43,'Check Results'!$F$5:$F$600,"Fail",'Check Results'!$E$5:$E$600,"Blocking"))</f>
        <v/>
      </c>
      <c r="K43" s="14" t="str">
        <f t="shared" si="2"/>
        <v/>
      </c>
      <c r="L43" s="15" t="str">
        <f t="shared" si="3"/>
        <v/>
      </c>
      <c r="M43" s="16"/>
    </row>
    <row r="44" spans="1:13" ht="18" customHeight="1">
      <c r="A44" s="17"/>
      <c r="B44" s="18"/>
      <c r="C44" s="19"/>
      <c r="D44" s="19"/>
      <c r="E44" s="19"/>
      <c r="F44" s="20" t="str">
        <f>IF($A44="","",COUNTIFS('Check Results'!$A$5:$A$600,$A44,'Check Results'!$F$5:$F$600,"Pass")+COUNTIFS('Check Results'!$A$5:$A$600,$A44,'Check Results'!$F$5:$F$600,"Fail")+COUNTIFS('Check Results'!$A$5:$A$600,$A44,'Check Results'!$F$5:$F$600,"N/A"))</f>
        <v/>
      </c>
      <c r="G44" s="20" t="str">
        <f>IF($A44="","",COUNTIFS('Check Results'!$A$5:$A$600,$A44,'Check Results'!$F$5:$F$600,"Pass"))</f>
        <v/>
      </c>
      <c r="H44" s="20" t="str">
        <f>IF($A44="","",COUNTIFS('Check Results'!$A$5:$A$600,$A44,'Check Results'!$F$5:$F$600,"Fail"))</f>
        <v/>
      </c>
      <c r="I44" s="20" t="str">
        <f>IF($A44="","",COUNTIFS('Check Results'!$A$5:$A$600,$A44,'Check Results'!$F$5:$F$600,"N/A"))</f>
        <v/>
      </c>
      <c r="J44" s="21" t="str">
        <f>IF($A44="","",COUNTIFS('Check Results'!$A$5:$A$600,$A44,'Check Results'!$F$5:$F$600,"Fail",'Check Results'!$E$5:$E$600,"Blocking"))</f>
        <v/>
      </c>
      <c r="K44" s="22" t="str">
        <f t="shared" si="2"/>
        <v/>
      </c>
      <c r="L44" s="23" t="str">
        <f t="shared" si="3"/>
        <v/>
      </c>
      <c r="M44" s="24"/>
    </row>
    <row r="45" spans="1:13" ht="18" customHeight="1">
      <c r="A45" s="9"/>
      <c r="B45" s="10"/>
      <c r="C45" s="11"/>
      <c r="D45" s="11"/>
      <c r="E45" s="11"/>
      <c r="F45" s="12" t="str">
        <f>IF($A45="","",COUNTIFS('Check Results'!$A$5:$A$600,$A45,'Check Results'!$F$5:$F$600,"Pass")+COUNTIFS('Check Results'!$A$5:$A$600,$A45,'Check Results'!$F$5:$F$600,"Fail")+COUNTIFS('Check Results'!$A$5:$A$600,$A45,'Check Results'!$F$5:$F$600,"N/A"))</f>
        <v/>
      </c>
      <c r="G45" s="12" t="str">
        <f>IF($A45="","",COUNTIFS('Check Results'!$A$5:$A$600,$A45,'Check Results'!$F$5:$F$600,"Pass"))</f>
        <v/>
      </c>
      <c r="H45" s="12" t="str">
        <f>IF($A45="","",COUNTIFS('Check Results'!$A$5:$A$600,$A45,'Check Results'!$F$5:$F$600,"Fail"))</f>
        <v/>
      </c>
      <c r="I45" s="12" t="str">
        <f>IF($A45="","",COUNTIFS('Check Results'!$A$5:$A$600,$A45,'Check Results'!$F$5:$F$600,"N/A"))</f>
        <v/>
      </c>
      <c r="J45" s="13" t="str">
        <f>IF($A45="","",COUNTIFS('Check Results'!$A$5:$A$600,$A45,'Check Results'!$F$5:$F$600,"Fail",'Check Results'!$E$5:$E$600,"Blocking"))</f>
        <v/>
      </c>
      <c r="K45" s="14" t="str">
        <f t="shared" si="2"/>
        <v/>
      </c>
      <c r="L45" s="15" t="str">
        <f t="shared" si="3"/>
        <v/>
      </c>
      <c r="M45" s="16"/>
    </row>
    <row r="46" spans="1:13" ht="18" customHeight="1">
      <c r="A46" s="17"/>
      <c r="B46" s="18"/>
      <c r="C46" s="19"/>
      <c r="D46" s="19"/>
      <c r="E46" s="19"/>
      <c r="F46" s="20" t="str">
        <f>IF($A46="","",COUNTIFS('Check Results'!$A$5:$A$600,$A46,'Check Results'!$F$5:$F$600,"Pass")+COUNTIFS('Check Results'!$A$5:$A$600,$A46,'Check Results'!$F$5:$F$600,"Fail")+COUNTIFS('Check Results'!$A$5:$A$600,$A46,'Check Results'!$F$5:$F$600,"N/A"))</f>
        <v/>
      </c>
      <c r="G46" s="20" t="str">
        <f>IF($A46="","",COUNTIFS('Check Results'!$A$5:$A$600,$A46,'Check Results'!$F$5:$F$600,"Pass"))</f>
        <v/>
      </c>
      <c r="H46" s="20" t="str">
        <f>IF($A46="","",COUNTIFS('Check Results'!$A$5:$A$600,$A46,'Check Results'!$F$5:$F$600,"Fail"))</f>
        <v/>
      </c>
      <c r="I46" s="20" t="str">
        <f>IF($A46="","",COUNTIFS('Check Results'!$A$5:$A$600,$A46,'Check Results'!$F$5:$F$600,"N/A"))</f>
        <v/>
      </c>
      <c r="J46" s="21" t="str">
        <f>IF($A46="","",COUNTIFS('Check Results'!$A$5:$A$600,$A46,'Check Results'!$F$5:$F$600,"Fail",'Check Results'!$E$5:$E$600,"Blocking"))</f>
        <v/>
      </c>
      <c r="K46" s="22" t="str">
        <f t="shared" si="2"/>
        <v/>
      </c>
      <c r="L46" s="23" t="str">
        <f t="shared" si="3"/>
        <v/>
      </c>
      <c r="M46" s="24"/>
    </row>
    <row r="47" spans="1:13" ht="18" customHeight="1">
      <c r="A47" s="9"/>
      <c r="B47" s="10"/>
      <c r="C47" s="11"/>
      <c r="D47" s="11"/>
      <c r="E47" s="11"/>
      <c r="F47" s="12" t="str">
        <f>IF($A47="","",COUNTIFS('Check Results'!$A$5:$A$600,$A47,'Check Results'!$F$5:$F$600,"Pass")+COUNTIFS('Check Results'!$A$5:$A$600,$A47,'Check Results'!$F$5:$F$600,"Fail")+COUNTIFS('Check Results'!$A$5:$A$600,$A47,'Check Results'!$F$5:$F$600,"N/A"))</f>
        <v/>
      </c>
      <c r="G47" s="12" t="str">
        <f>IF($A47="","",COUNTIFS('Check Results'!$A$5:$A$600,$A47,'Check Results'!$F$5:$F$600,"Pass"))</f>
        <v/>
      </c>
      <c r="H47" s="12" t="str">
        <f>IF($A47="","",COUNTIFS('Check Results'!$A$5:$A$600,$A47,'Check Results'!$F$5:$F$600,"Fail"))</f>
        <v/>
      </c>
      <c r="I47" s="12" t="str">
        <f>IF($A47="","",COUNTIFS('Check Results'!$A$5:$A$600,$A47,'Check Results'!$F$5:$F$600,"N/A"))</f>
        <v/>
      </c>
      <c r="J47" s="13" t="str">
        <f>IF($A47="","",COUNTIFS('Check Results'!$A$5:$A$600,$A47,'Check Results'!$F$5:$F$600,"Fail",'Check Results'!$E$5:$E$600,"Blocking"))</f>
        <v/>
      </c>
      <c r="K47" s="14" t="str">
        <f t="shared" si="2"/>
        <v/>
      </c>
      <c r="L47" s="15" t="str">
        <f t="shared" si="3"/>
        <v/>
      </c>
      <c r="M47" s="16"/>
    </row>
    <row r="48" spans="1:13" ht="18" customHeight="1">
      <c r="A48" s="17"/>
      <c r="B48" s="18"/>
      <c r="C48" s="19"/>
      <c r="D48" s="19"/>
      <c r="E48" s="19"/>
      <c r="F48" s="20" t="str">
        <f>IF($A48="","",COUNTIFS('Check Results'!$A$5:$A$600,$A48,'Check Results'!$F$5:$F$600,"Pass")+COUNTIFS('Check Results'!$A$5:$A$600,$A48,'Check Results'!$F$5:$F$600,"Fail")+COUNTIFS('Check Results'!$A$5:$A$600,$A48,'Check Results'!$F$5:$F$600,"N/A"))</f>
        <v/>
      </c>
      <c r="G48" s="20" t="str">
        <f>IF($A48="","",COUNTIFS('Check Results'!$A$5:$A$600,$A48,'Check Results'!$F$5:$F$600,"Pass"))</f>
        <v/>
      </c>
      <c r="H48" s="20" t="str">
        <f>IF($A48="","",COUNTIFS('Check Results'!$A$5:$A$600,$A48,'Check Results'!$F$5:$F$600,"Fail"))</f>
        <v/>
      </c>
      <c r="I48" s="20" t="str">
        <f>IF($A48="","",COUNTIFS('Check Results'!$A$5:$A$600,$A48,'Check Results'!$F$5:$F$600,"N/A"))</f>
        <v/>
      </c>
      <c r="J48" s="21" t="str">
        <f>IF($A48="","",COUNTIFS('Check Results'!$A$5:$A$600,$A48,'Check Results'!$F$5:$F$600,"Fail",'Check Results'!$E$5:$E$600,"Blocking"))</f>
        <v/>
      </c>
      <c r="K48" s="22" t="str">
        <f t="shared" si="2"/>
        <v/>
      </c>
      <c r="L48" s="23" t="str">
        <f t="shared" si="3"/>
        <v/>
      </c>
      <c r="M48" s="24"/>
    </row>
    <row r="49" spans="1:13" ht="18" customHeight="1">
      <c r="A49" s="9"/>
      <c r="B49" s="10"/>
      <c r="C49" s="11"/>
      <c r="D49" s="11"/>
      <c r="E49" s="11"/>
      <c r="F49" s="12" t="str">
        <f>IF($A49="","",COUNTIFS('Check Results'!$A$5:$A$600,$A49,'Check Results'!$F$5:$F$600,"Pass")+COUNTIFS('Check Results'!$A$5:$A$600,$A49,'Check Results'!$F$5:$F$600,"Fail")+COUNTIFS('Check Results'!$A$5:$A$600,$A49,'Check Results'!$F$5:$F$600,"N/A"))</f>
        <v/>
      </c>
      <c r="G49" s="12" t="str">
        <f>IF($A49="","",COUNTIFS('Check Results'!$A$5:$A$600,$A49,'Check Results'!$F$5:$F$600,"Pass"))</f>
        <v/>
      </c>
      <c r="H49" s="12" t="str">
        <f>IF($A49="","",COUNTIFS('Check Results'!$A$5:$A$600,$A49,'Check Results'!$F$5:$F$600,"Fail"))</f>
        <v/>
      </c>
      <c r="I49" s="12" t="str">
        <f>IF($A49="","",COUNTIFS('Check Results'!$A$5:$A$600,$A49,'Check Results'!$F$5:$F$600,"N/A"))</f>
        <v/>
      </c>
      <c r="J49" s="13" t="str">
        <f>IF($A49="","",COUNTIFS('Check Results'!$A$5:$A$600,$A49,'Check Results'!$F$5:$F$600,"Fail",'Check Results'!$E$5:$E$600,"Blocking"))</f>
        <v/>
      </c>
      <c r="K49" s="14" t="str">
        <f t="shared" si="2"/>
        <v/>
      </c>
      <c r="L49" s="15" t="str">
        <f t="shared" si="3"/>
        <v/>
      </c>
      <c r="M49" s="16"/>
    </row>
    <row r="50" spans="1:13" ht="18" customHeight="1">
      <c r="A50" s="17"/>
      <c r="B50" s="18"/>
      <c r="C50" s="19"/>
      <c r="D50" s="19"/>
      <c r="E50" s="19"/>
      <c r="F50" s="20" t="str">
        <f>IF($A50="","",COUNTIFS('Check Results'!$A$5:$A$600,$A50,'Check Results'!$F$5:$F$600,"Pass")+COUNTIFS('Check Results'!$A$5:$A$600,$A50,'Check Results'!$F$5:$F$600,"Fail")+COUNTIFS('Check Results'!$A$5:$A$600,$A50,'Check Results'!$F$5:$F$600,"N/A"))</f>
        <v/>
      </c>
      <c r="G50" s="20" t="str">
        <f>IF($A50="","",COUNTIFS('Check Results'!$A$5:$A$600,$A50,'Check Results'!$F$5:$F$600,"Pass"))</f>
        <v/>
      </c>
      <c r="H50" s="20" t="str">
        <f>IF($A50="","",COUNTIFS('Check Results'!$A$5:$A$600,$A50,'Check Results'!$F$5:$F$600,"Fail"))</f>
        <v/>
      </c>
      <c r="I50" s="20" t="str">
        <f>IF($A50="","",COUNTIFS('Check Results'!$A$5:$A$600,$A50,'Check Results'!$F$5:$F$600,"N/A"))</f>
        <v/>
      </c>
      <c r="J50" s="21" t="str">
        <f>IF($A50="","",COUNTIFS('Check Results'!$A$5:$A$600,$A50,'Check Results'!$F$5:$F$600,"Fail",'Check Results'!$E$5:$E$600,"Blocking"))</f>
        <v/>
      </c>
      <c r="K50" s="22" t="str">
        <f t="shared" si="2"/>
        <v/>
      </c>
      <c r="L50" s="23" t="str">
        <f t="shared" si="3"/>
        <v/>
      </c>
      <c r="M50" s="24"/>
    </row>
    <row r="51" spans="1:13" ht="18" customHeight="1">
      <c r="A51" s="9"/>
      <c r="B51" s="10"/>
      <c r="C51" s="11"/>
      <c r="D51" s="11"/>
      <c r="E51" s="11"/>
      <c r="F51" s="12" t="str">
        <f>IF($A51="","",COUNTIFS('Check Results'!$A$5:$A$600,$A51,'Check Results'!$F$5:$F$600,"Pass")+COUNTIFS('Check Results'!$A$5:$A$600,$A51,'Check Results'!$F$5:$F$600,"Fail")+COUNTIFS('Check Results'!$A$5:$A$600,$A51,'Check Results'!$F$5:$F$600,"N/A"))</f>
        <v/>
      </c>
      <c r="G51" s="12" t="str">
        <f>IF($A51="","",COUNTIFS('Check Results'!$A$5:$A$600,$A51,'Check Results'!$F$5:$F$600,"Pass"))</f>
        <v/>
      </c>
      <c r="H51" s="12" t="str">
        <f>IF($A51="","",COUNTIFS('Check Results'!$A$5:$A$600,$A51,'Check Results'!$F$5:$F$600,"Fail"))</f>
        <v/>
      </c>
      <c r="I51" s="12" t="str">
        <f>IF($A51="","",COUNTIFS('Check Results'!$A$5:$A$600,$A51,'Check Results'!$F$5:$F$600,"N/A"))</f>
        <v/>
      </c>
      <c r="J51" s="13" t="str">
        <f>IF($A51="","",COUNTIFS('Check Results'!$A$5:$A$600,$A51,'Check Results'!$F$5:$F$600,"Fail",'Check Results'!$E$5:$E$600,"Blocking"))</f>
        <v/>
      </c>
      <c r="K51" s="14" t="str">
        <f t="shared" si="2"/>
        <v/>
      </c>
      <c r="L51" s="15" t="str">
        <f t="shared" si="3"/>
        <v/>
      </c>
      <c r="M51" s="16"/>
    </row>
    <row r="52" spans="1:13" ht="18" customHeight="1">
      <c r="A52" s="17"/>
      <c r="B52" s="18"/>
      <c r="C52" s="19"/>
      <c r="D52" s="19"/>
      <c r="E52" s="19"/>
      <c r="F52" s="20" t="str">
        <f>IF($A52="","",COUNTIFS('Check Results'!$A$5:$A$600,$A52,'Check Results'!$F$5:$F$600,"Pass")+COUNTIFS('Check Results'!$A$5:$A$600,$A52,'Check Results'!$F$5:$F$600,"Fail")+COUNTIFS('Check Results'!$A$5:$A$600,$A52,'Check Results'!$F$5:$F$600,"N/A"))</f>
        <v/>
      </c>
      <c r="G52" s="20" t="str">
        <f>IF($A52="","",COUNTIFS('Check Results'!$A$5:$A$600,$A52,'Check Results'!$F$5:$F$600,"Pass"))</f>
        <v/>
      </c>
      <c r="H52" s="20" t="str">
        <f>IF($A52="","",COUNTIFS('Check Results'!$A$5:$A$600,$A52,'Check Results'!$F$5:$F$600,"Fail"))</f>
        <v/>
      </c>
      <c r="I52" s="20" t="str">
        <f>IF($A52="","",COUNTIFS('Check Results'!$A$5:$A$600,$A52,'Check Results'!$F$5:$F$600,"N/A"))</f>
        <v/>
      </c>
      <c r="J52" s="21" t="str">
        <f>IF($A52="","",COUNTIFS('Check Results'!$A$5:$A$600,$A52,'Check Results'!$F$5:$F$600,"Fail",'Check Results'!$E$5:$E$600,"Blocking"))</f>
        <v/>
      </c>
      <c r="K52" s="22" t="str">
        <f t="shared" si="2"/>
        <v/>
      </c>
      <c r="L52" s="23" t="str">
        <f t="shared" si="3"/>
        <v/>
      </c>
      <c r="M52" s="24"/>
    </row>
    <row r="53" spans="1:13" ht="18" customHeight="1">
      <c r="A53" s="9"/>
      <c r="B53" s="10"/>
      <c r="C53" s="11"/>
      <c r="D53" s="11"/>
      <c r="E53" s="11"/>
      <c r="F53" s="12" t="str">
        <f>IF($A53="","",COUNTIFS('Check Results'!$A$5:$A$600,$A53,'Check Results'!$F$5:$F$600,"Pass")+COUNTIFS('Check Results'!$A$5:$A$600,$A53,'Check Results'!$F$5:$F$600,"Fail")+COUNTIFS('Check Results'!$A$5:$A$600,$A53,'Check Results'!$F$5:$F$600,"N/A"))</f>
        <v/>
      </c>
      <c r="G53" s="12" t="str">
        <f>IF($A53="","",COUNTIFS('Check Results'!$A$5:$A$600,$A53,'Check Results'!$F$5:$F$600,"Pass"))</f>
        <v/>
      </c>
      <c r="H53" s="12" t="str">
        <f>IF($A53="","",COUNTIFS('Check Results'!$A$5:$A$600,$A53,'Check Results'!$F$5:$F$600,"Fail"))</f>
        <v/>
      </c>
      <c r="I53" s="12" t="str">
        <f>IF($A53="","",COUNTIFS('Check Results'!$A$5:$A$600,$A53,'Check Results'!$F$5:$F$600,"N/A"))</f>
        <v/>
      </c>
      <c r="J53" s="13" t="str">
        <f>IF($A53="","",COUNTIFS('Check Results'!$A$5:$A$600,$A53,'Check Results'!$F$5:$F$600,"Fail",'Check Results'!$E$5:$E$600,"Blocking"))</f>
        <v/>
      </c>
      <c r="K53" s="14" t="str">
        <f t="shared" si="2"/>
        <v/>
      </c>
      <c r="L53" s="15" t="str">
        <f t="shared" si="3"/>
        <v/>
      </c>
      <c r="M53" s="16"/>
    </row>
    <row r="54" spans="1:13" ht="18" customHeight="1">
      <c r="A54" s="17"/>
      <c r="B54" s="18"/>
      <c r="C54" s="19"/>
      <c r="D54" s="19"/>
      <c r="E54" s="19"/>
      <c r="F54" s="20" t="str">
        <f>IF($A54="","",COUNTIFS('Check Results'!$A$5:$A$600,$A54,'Check Results'!$F$5:$F$600,"Pass")+COUNTIFS('Check Results'!$A$5:$A$600,$A54,'Check Results'!$F$5:$F$600,"Fail")+COUNTIFS('Check Results'!$A$5:$A$600,$A54,'Check Results'!$F$5:$F$600,"N/A"))</f>
        <v/>
      </c>
      <c r="G54" s="20" t="str">
        <f>IF($A54="","",COUNTIFS('Check Results'!$A$5:$A$600,$A54,'Check Results'!$F$5:$F$600,"Pass"))</f>
        <v/>
      </c>
      <c r="H54" s="20" t="str">
        <f>IF($A54="","",COUNTIFS('Check Results'!$A$5:$A$600,$A54,'Check Results'!$F$5:$F$600,"Fail"))</f>
        <v/>
      </c>
      <c r="I54" s="20" t="str">
        <f>IF($A54="","",COUNTIFS('Check Results'!$A$5:$A$600,$A54,'Check Results'!$F$5:$F$600,"N/A"))</f>
        <v/>
      </c>
      <c r="J54" s="21" t="str">
        <f>IF($A54="","",COUNTIFS('Check Results'!$A$5:$A$600,$A54,'Check Results'!$F$5:$F$600,"Fail",'Check Results'!$E$5:$E$600,"Blocking"))</f>
        <v/>
      </c>
      <c r="K54" s="22" t="str">
        <f t="shared" si="2"/>
        <v/>
      </c>
      <c r="L54" s="23" t="str">
        <f t="shared" si="3"/>
        <v/>
      </c>
      <c r="M54" s="24"/>
    </row>
    <row r="55" spans="1:13" ht="18" customHeight="1">
      <c r="A55" s="9"/>
      <c r="B55" s="10"/>
      <c r="C55" s="11"/>
      <c r="D55" s="11"/>
      <c r="E55" s="11"/>
      <c r="F55" s="12" t="str">
        <f>IF($A55="","",COUNTIFS('Check Results'!$A$5:$A$600,$A55,'Check Results'!$F$5:$F$600,"Pass")+COUNTIFS('Check Results'!$A$5:$A$600,$A55,'Check Results'!$F$5:$F$600,"Fail")+COUNTIFS('Check Results'!$A$5:$A$600,$A55,'Check Results'!$F$5:$F$600,"N/A"))</f>
        <v/>
      </c>
      <c r="G55" s="12" t="str">
        <f>IF($A55="","",COUNTIFS('Check Results'!$A$5:$A$600,$A55,'Check Results'!$F$5:$F$600,"Pass"))</f>
        <v/>
      </c>
      <c r="H55" s="12" t="str">
        <f>IF($A55="","",COUNTIFS('Check Results'!$A$5:$A$600,$A55,'Check Results'!$F$5:$F$600,"Fail"))</f>
        <v/>
      </c>
      <c r="I55" s="12" t="str">
        <f>IF($A55="","",COUNTIFS('Check Results'!$A$5:$A$600,$A55,'Check Results'!$F$5:$F$600,"N/A"))</f>
        <v/>
      </c>
      <c r="J55" s="13" t="str">
        <f>IF($A55="","",COUNTIFS('Check Results'!$A$5:$A$600,$A55,'Check Results'!$F$5:$F$600,"Fail",'Check Results'!$E$5:$E$600,"Blocking"))</f>
        <v/>
      </c>
      <c r="K55" s="14" t="str">
        <f t="shared" si="2"/>
        <v/>
      </c>
      <c r="L55" s="15" t="str">
        <f t="shared" si="3"/>
        <v/>
      </c>
      <c r="M55" s="16"/>
    </row>
    <row r="56" spans="1:13" ht="18" customHeight="1">
      <c r="A56" s="17"/>
      <c r="B56" s="18"/>
      <c r="C56" s="19"/>
      <c r="D56" s="19"/>
      <c r="E56" s="19"/>
      <c r="F56" s="20" t="str">
        <f>IF($A56="","",COUNTIFS('Check Results'!$A$5:$A$600,$A56,'Check Results'!$F$5:$F$600,"Pass")+COUNTIFS('Check Results'!$A$5:$A$600,$A56,'Check Results'!$F$5:$F$600,"Fail")+COUNTIFS('Check Results'!$A$5:$A$600,$A56,'Check Results'!$F$5:$F$600,"N/A"))</f>
        <v/>
      </c>
      <c r="G56" s="20" t="str">
        <f>IF($A56="","",COUNTIFS('Check Results'!$A$5:$A$600,$A56,'Check Results'!$F$5:$F$600,"Pass"))</f>
        <v/>
      </c>
      <c r="H56" s="20" t="str">
        <f>IF($A56="","",COUNTIFS('Check Results'!$A$5:$A$600,$A56,'Check Results'!$F$5:$F$600,"Fail"))</f>
        <v/>
      </c>
      <c r="I56" s="20" t="str">
        <f>IF($A56="","",COUNTIFS('Check Results'!$A$5:$A$600,$A56,'Check Results'!$F$5:$F$600,"N/A"))</f>
        <v/>
      </c>
      <c r="J56" s="21" t="str">
        <f>IF($A56="","",COUNTIFS('Check Results'!$A$5:$A$600,$A56,'Check Results'!$F$5:$F$600,"Fail",'Check Results'!$E$5:$E$600,"Blocking"))</f>
        <v/>
      </c>
      <c r="K56" s="22" t="str">
        <f t="shared" si="2"/>
        <v/>
      </c>
      <c r="L56" s="23" t="str">
        <f t="shared" si="3"/>
        <v/>
      </c>
      <c r="M56" s="24"/>
    </row>
    <row r="57" spans="1:13" ht="18" customHeight="1">
      <c r="A57" s="9"/>
      <c r="B57" s="10"/>
      <c r="C57" s="11"/>
      <c r="D57" s="11"/>
      <c r="E57" s="11"/>
      <c r="F57" s="12" t="str">
        <f>IF($A57="","",COUNTIFS('Check Results'!$A$5:$A$600,$A57,'Check Results'!$F$5:$F$600,"Pass")+COUNTIFS('Check Results'!$A$5:$A$600,$A57,'Check Results'!$F$5:$F$600,"Fail")+COUNTIFS('Check Results'!$A$5:$A$600,$A57,'Check Results'!$F$5:$F$600,"N/A"))</f>
        <v/>
      </c>
      <c r="G57" s="12" t="str">
        <f>IF($A57="","",COUNTIFS('Check Results'!$A$5:$A$600,$A57,'Check Results'!$F$5:$F$600,"Pass"))</f>
        <v/>
      </c>
      <c r="H57" s="12" t="str">
        <f>IF($A57="","",COUNTIFS('Check Results'!$A$5:$A$600,$A57,'Check Results'!$F$5:$F$600,"Fail"))</f>
        <v/>
      </c>
      <c r="I57" s="12" t="str">
        <f>IF($A57="","",COUNTIFS('Check Results'!$A$5:$A$600,$A57,'Check Results'!$F$5:$F$600,"N/A"))</f>
        <v/>
      </c>
      <c r="J57" s="13" t="str">
        <f>IF($A57="","",COUNTIFS('Check Results'!$A$5:$A$600,$A57,'Check Results'!$F$5:$F$600,"Fail",'Check Results'!$E$5:$E$600,"Blocking"))</f>
        <v/>
      </c>
      <c r="K57" s="14" t="str">
        <f t="shared" si="2"/>
        <v/>
      </c>
      <c r="L57" s="15" t="str">
        <f t="shared" si="3"/>
        <v/>
      </c>
      <c r="M57" s="16"/>
    </row>
    <row r="58" spans="1:13" ht="18" customHeight="1">
      <c r="A58" s="17"/>
      <c r="B58" s="18"/>
      <c r="C58" s="19"/>
      <c r="D58" s="19"/>
      <c r="E58" s="19"/>
      <c r="F58" s="20" t="str">
        <f>IF($A58="","",COUNTIFS('Check Results'!$A$5:$A$600,$A58,'Check Results'!$F$5:$F$600,"Pass")+COUNTIFS('Check Results'!$A$5:$A$600,$A58,'Check Results'!$F$5:$F$600,"Fail")+COUNTIFS('Check Results'!$A$5:$A$600,$A58,'Check Results'!$F$5:$F$600,"N/A"))</f>
        <v/>
      </c>
      <c r="G58" s="20" t="str">
        <f>IF($A58="","",COUNTIFS('Check Results'!$A$5:$A$600,$A58,'Check Results'!$F$5:$F$600,"Pass"))</f>
        <v/>
      </c>
      <c r="H58" s="20" t="str">
        <f>IF($A58="","",COUNTIFS('Check Results'!$A$5:$A$600,$A58,'Check Results'!$F$5:$F$600,"Fail"))</f>
        <v/>
      </c>
      <c r="I58" s="20" t="str">
        <f>IF($A58="","",COUNTIFS('Check Results'!$A$5:$A$600,$A58,'Check Results'!$F$5:$F$600,"N/A"))</f>
        <v/>
      </c>
      <c r="J58" s="21" t="str">
        <f>IF($A58="","",COUNTIFS('Check Results'!$A$5:$A$600,$A58,'Check Results'!$F$5:$F$600,"Fail",'Check Results'!$E$5:$E$600,"Blocking"))</f>
        <v/>
      </c>
      <c r="K58" s="22" t="str">
        <f t="shared" si="2"/>
        <v/>
      </c>
      <c r="L58" s="23" t="str">
        <f t="shared" si="3"/>
        <v/>
      </c>
      <c r="M58" s="24"/>
    </row>
    <row r="59" spans="1:13" ht="18" customHeight="1">
      <c r="A59" s="9"/>
      <c r="B59" s="10"/>
      <c r="C59" s="11"/>
      <c r="D59" s="11"/>
      <c r="E59" s="11"/>
      <c r="F59" s="12" t="str">
        <f>IF($A59="","",COUNTIFS('Check Results'!$A$5:$A$600,$A59,'Check Results'!$F$5:$F$600,"Pass")+COUNTIFS('Check Results'!$A$5:$A$600,$A59,'Check Results'!$F$5:$F$600,"Fail")+COUNTIFS('Check Results'!$A$5:$A$600,$A59,'Check Results'!$F$5:$F$600,"N/A"))</f>
        <v/>
      </c>
      <c r="G59" s="12" t="str">
        <f>IF($A59="","",COUNTIFS('Check Results'!$A$5:$A$600,$A59,'Check Results'!$F$5:$F$600,"Pass"))</f>
        <v/>
      </c>
      <c r="H59" s="12" t="str">
        <f>IF($A59="","",COUNTIFS('Check Results'!$A$5:$A$600,$A59,'Check Results'!$F$5:$F$600,"Fail"))</f>
        <v/>
      </c>
      <c r="I59" s="12" t="str">
        <f>IF($A59="","",COUNTIFS('Check Results'!$A$5:$A$600,$A59,'Check Results'!$F$5:$F$600,"N/A"))</f>
        <v/>
      </c>
      <c r="J59" s="13" t="str">
        <f>IF($A59="","",COUNTIFS('Check Results'!$A$5:$A$600,$A59,'Check Results'!$F$5:$F$600,"Fail",'Check Results'!$E$5:$E$600,"Blocking"))</f>
        <v/>
      </c>
      <c r="K59" s="14" t="str">
        <f t="shared" si="2"/>
        <v/>
      </c>
      <c r="L59" s="15" t="str">
        <f t="shared" si="3"/>
        <v/>
      </c>
      <c r="M59" s="16"/>
    </row>
    <row r="60" spans="1:13" ht="18" customHeight="1">
      <c r="A60" s="17"/>
      <c r="B60" s="18"/>
      <c r="C60" s="19"/>
      <c r="D60" s="19"/>
      <c r="E60" s="19"/>
      <c r="F60" s="20" t="str">
        <f>IF($A60="","",COUNTIFS('Check Results'!$A$5:$A$600,$A60,'Check Results'!$F$5:$F$600,"Pass")+COUNTIFS('Check Results'!$A$5:$A$600,$A60,'Check Results'!$F$5:$F$600,"Fail")+COUNTIFS('Check Results'!$A$5:$A$600,$A60,'Check Results'!$F$5:$F$600,"N/A"))</f>
        <v/>
      </c>
      <c r="G60" s="20" t="str">
        <f>IF($A60="","",COUNTIFS('Check Results'!$A$5:$A$600,$A60,'Check Results'!$F$5:$F$600,"Pass"))</f>
        <v/>
      </c>
      <c r="H60" s="20" t="str">
        <f>IF($A60="","",COUNTIFS('Check Results'!$A$5:$A$600,$A60,'Check Results'!$F$5:$F$600,"Fail"))</f>
        <v/>
      </c>
      <c r="I60" s="20" t="str">
        <f>IF($A60="","",COUNTIFS('Check Results'!$A$5:$A$600,$A60,'Check Results'!$F$5:$F$600,"N/A"))</f>
        <v/>
      </c>
      <c r="J60" s="21" t="str">
        <f>IF($A60="","",COUNTIFS('Check Results'!$A$5:$A$600,$A60,'Check Results'!$F$5:$F$600,"Fail",'Check Results'!$E$5:$E$600,"Blocking"))</f>
        <v/>
      </c>
      <c r="K60" s="22" t="str">
        <f t="shared" si="2"/>
        <v/>
      </c>
      <c r="L60" s="23" t="str">
        <f t="shared" si="3"/>
        <v/>
      </c>
      <c r="M60" s="24"/>
    </row>
  </sheetData>
  <autoFilter ref="A4:M60" xr:uid="{00000000-0009-0000-0000-000001000000}"/>
  <mergeCells count="2">
    <mergeCell ref="A2:M2"/>
    <mergeCell ref="A1:M1"/>
  </mergeCells>
  <conditionalFormatting sqref="J5:J60">
    <cfRule type="cellIs" dxfId="11" priority="5" operator="greaterThan">
      <formula>0</formula>
    </cfRule>
  </conditionalFormatting>
  <conditionalFormatting sqref="L5:L60">
    <cfRule type="cellIs" dxfId="10" priority="1" operator="equal">
      <formula>"PASS"</formula>
    </cfRule>
    <cfRule type="cellIs" dxfId="9" priority="2" operator="equal">
      <formula>"BLOCKED"</formula>
    </cfRule>
    <cfRule type="expression" dxfId="8" priority="3">
      <formula>LEFT($L5,10)="INCOMPLETE"</formula>
    </cfRule>
    <cfRule type="expression" dxfId="7" priority="4">
      <formula>LEFT($L5,6)="PASSED"</formula>
    </cfRule>
  </conditionalFormatting>
  <dataValidations count="1">
    <dataValidation type="list" allowBlank="1" sqref="C5:C60" xr:uid="{00000000-0002-0000-0100-000000000000}">
      <formula1>"Initial build,Post fact-table reload,Post measure change,Post report change,Pre-publication,Ad hoc"</formula1>
    </dataValidation>
  </dataValidations>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600"/>
  <sheetViews>
    <sheetView workbookViewId="0">
      <pane xSplit="2" ySplit="4" topLeftCell="C5" activePane="bottomRight" state="frozen"/>
      <selection pane="topRight"/>
      <selection pane="bottomLeft"/>
      <selection pane="bottomRight"/>
    </sheetView>
  </sheetViews>
  <sheetFormatPr defaultRowHeight="14.5"/>
  <cols>
    <col min="1" max="1" width="10" customWidth="1"/>
    <col min="2" max="2" width="5" customWidth="1"/>
    <col min="3" max="3" width="26" customWidth="1"/>
    <col min="4" max="4" width="46" customWidth="1"/>
    <col min="5" max="6" width="11" customWidth="1"/>
    <col min="7" max="7" width="42" customWidth="1"/>
    <col min="8" max="9" width="13" customWidth="1"/>
    <col min="10" max="10" width="34" customWidth="1"/>
  </cols>
  <sheetData>
    <row r="1" spans="1:10" ht="24" customHeight="1">
      <c r="A1" s="48" t="s">
        <v>77</v>
      </c>
      <c r="B1" s="42"/>
      <c r="C1" s="42"/>
      <c r="D1" s="42"/>
      <c r="E1" s="42"/>
      <c r="F1" s="42"/>
      <c r="G1" s="42"/>
      <c r="H1" s="42"/>
      <c r="I1" s="42"/>
      <c r="J1" s="42"/>
    </row>
    <row r="2" spans="1:10" ht="30" customHeight="1">
      <c r="A2" s="47" t="s">
        <v>78</v>
      </c>
      <c r="B2" s="42"/>
      <c r="C2" s="42"/>
      <c r="D2" s="42"/>
      <c r="E2" s="42"/>
      <c r="F2" s="42"/>
      <c r="G2" s="42"/>
      <c r="H2" s="42"/>
      <c r="I2" s="42"/>
      <c r="J2" s="42"/>
    </row>
    <row r="4" spans="1:10" ht="34" customHeight="1">
      <c r="A4" s="8" t="s">
        <v>62</v>
      </c>
      <c r="B4" s="8" t="s">
        <v>79</v>
      </c>
      <c r="C4" s="8" t="s">
        <v>80</v>
      </c>
      <c r="D4" s="8" t="s">
        <v>81</v>
      </c>
      <c r="E4" s="8" t="s">
        <v>82</v>
      </c>
      <c r="F4" s="8" t="s">
        <v>83</v>
      </c>
      <c r="G4" s="8" t="s">
        <v>84</v>
      </c>
      <c r="H4" s="8" t="s">
        <v>85</v>
      </c>
      <c r="I4" s="8" t="s">
        <v>86</v>
      </c>
      <c r="J4" s="8" t="s">
        <v>74</v>
      </c>
    </row>
    <row r="5" spans="1:10" ht="42" customHeight="1">
      <c r="A5" s="9" t="s">
        <v>75</v>
      </c>
      <c r="B5" s="13">
        <v>1</v>
      </c>
      <c r="C5" s="25" t="s">
        <v>87</v>
      </c>
      <c r="D5" s="16" t="s">
        <v>88</v>
      </c>
      <c r="E5" s="26" t="s">
        <v>89</v>
      </c>
      <c r="F5" s="13" t="s">
        <v>90</v>
      </c>
      <c r="G5" s="16"/>
      <c r="H5" s="12"/>
      <c r="I5" s="27"/>
      <c r="J5" s="16"/>
    </row>
    <row r="6" spans="1:10" ht="42" customHeight="1">
      <c r="A6" s="17" t="s">
        <v>75</v>
      </c>
      <c r="B6" s="21">
        <v>2</v>
      </c>
      <c r="C6" s="28" t="s">
        <v>91</v>
      </c>
      <c r="D6" s="24" t="s">
        <v>92</v>
      </c>
      <c r="E6" s="29" t="s">
        <v>89</v>
      </c>
      <c r="F6" s="21" t="s">
        <v>90</v>
      </c>
      <c r="G6" s="24"/>
      <c r="H6" s="20"/>
      <c r="I6" s="30"/>
      <c r="J6" s="24"/>
    </row>
    <row r="7" spans="1:10" ht="42" customHeight="1">
      <c r="A7" s="9" t="s">
        <v>75</v>
      </c>
      <c r="B7" s="13">
        <v>3</v>
      </c>
      <c r="C7" s="25" t="s">
        <v>93</v>
      </c>
      <c r="D7" s="16" t="s">
        <v>94</v>
      </c>
      <c r="E7" s="31" t="s">
        <v>95</v>
      </c>
      <c r="F7" s="13" t="s">
        <v>90</v>
      </c>
      <c r="G7" s="16"/>
      <c r="H7" s="12"/>
      <c r="I7" s="27"/>
      <c r="J7" s="16"/>
    </row>
    <row r="8" spans="1:10" ht="42" customHeight="1">
      <c r="A8" s="17" t="s">
        <v>75</v>
      </c>
      <c r="B8" s="21">
        <v>4</v>
      </c>
      <c r="C8" s="28" t="s">
        <v>96</v>
      </c>
      <c r="D8" s="24" t="s">
        <v>97</v>
      </c>
      <c r="E8" s="29" t="s">
        <v>89</v>
      </c>
      <c r="F8" s="21" t="s">
        <v>90</v>
      </c>
      <c r="G8" s="24"/>
      <c r="H8" s="20"/>
      <c r="I8" s="30"/>
      <c r="J8" s="24"/>
    </row>
    <row r="9" spans="1:10" ht="42" customHeight="1">
      <c r="A9" s="9" t="s">
        <v>75</v>
      </c>
      <c r="B9" s="13">
        <v>5</v>
      </c>
      <c r="C9" s="25" t="s">
        <v>98</v>
      </c>
      <c r="D9" s="16" t="s">
        <v>99</v>
      </c>
      <c r="E9" s="26" t="s">
        <v>89</v>
      </c>
      <c r="F9" s="13" t="s">
        <v>90</v>
      </c>
      <c r="G9" s="16"/>
      <c r="H9" s="12"/>
      <c r="I9" s="27"/>
      <c r="J9" s="16"/>
    </row>
    <row r="10" spans="1:10" ht="42" customHeight="1">
      <c r="A10" s="17" t="s">
        <v>75</v>
      </c>
      <c r="B10" s="21">
        <v>6</v>
      </c>
      <c r="C10" s="28" t="s">
        <v>100</v>
      </c>
      <c r="D10" s="24" t="s">
        <v>101</v>
      </c>
      <c r="E10" s="29" t="s">
        <v>89</v>
      </c>
      <c r="F10" s="21" t="s">
        <v>90</v>
      </c>
      <c r="G10" s="24"/>
      <c r="H10" s="20"/>
      <c r="I10" s="30"/>
      <c r="J10" s="24"/>
    </row>
    <row r="11" spans="1:10" ht="42" customHeight="1">
      <c r="A11" s="9" t="s">
        <v>75</v>
      </c>
      <c r="B11" s="13">
        <v>7</v>
      </c>
      <c r="C11" s="25" t="s">
        <v>102</v>
      </c>
      <c r="D11" s="16" t="s">
        <v>103</v>
      </c>
      <c r="E11" s="26" t="s">
        <v>89</v>
      </c>
      <c r="F11" s="13" t="s">
        <v>90</v>
      </c>
      <c r="G11" s="16"/>
      <c r="H11" s="12"/>
      <c r="I11" s="27"/>
      <c r="J11" s="16"/>
    </row>
    <row r="12" spans="1:10" ht="42" customHeight="1">
      <c r="A12" s="17" t="s">
        <v>75</v>
      </c>
      <c r="B12" s="21">
        <v>8</v>
      </c>
      <c r="C12" s="28" t="s">
        <v>104</v>
      </c>
      <c r="D12" s="24" t="s">
        <v>105</v>
      </c>
      <c r="E12" s="29" t="s">
        <v>89</v>
      </c>
      <c r="F12" s="21" t="s">
        <v>90</v>
      </c>
      <c r="G12" s="24"/>
      <c r="H12" s="20"/>
      <c r="I12" s="30"/>
      <c r="J12" s="24"/>
    </row>
    <row r="13" spans="1:10" ht="42" customHeight="1">
      <c r="A13" s="9" t="s">
        <v>75</v>
      </c>
      <c r="B13" s="13">
        <v>9</v>
      </c>
      <c r="C13" s="25" t="s">
        <v>106</v>
      </c>
      <c r="D13" s="16" t="s">
        <v>107</v>
      </c>
      <c r="E13" s="26" t="s">
        <v>89</v>
      </c>
      <c r="F13" s="13" t="s">
        <v>90</v>
      </c>
      <c r="G13" s="16"/>
      <c r="H13" s="12"/>
      <c r="I13" s="27"/>
      <c r="J13" s="16"/>
    </row>
    <row r="14" spans="1:10" ht="42" customHeight="1">
      <c r="A14" s="17" t="s">
        <v>75</v>
      </c>
      <c r="B14" s="21">
        <v>10</v>
      </c>
      <c r="C14" s="28" t="s">
        <v>108</v>
      </c>
      <c r="D14" s="24" t="s">
        <v>109</v>
      </c>
      <c r="E14" s="32" t="s">
        <v>95</v>
      </c>
      <c r="F14" s="21" t="s">
        <v>90</v>
      </c>
      <c r="G14" s="24"/>
      <c r="H14" s="20"/>
      <c r="I14" s="30"/>
      <c r="J14" s="24"/>
    </row>
    <row r="15" spans="1:10" ht="42" customHeight="1">
      <c r="A15" s="9" t="s">
        <v>75</v>
      </c>
      <c r="B15" s="13">
        <v>11</v>
      </c>
      <c r="C15" s="25" t="s">
        <v>110</v>
      </c>
      <c r="D15" s="16" t="s">
        <v>111</v>
      </c>
      <c r="E15" s="31" t="s">
        <v>95</v>
      </c>
      <c r="F15" s="13" t="s">
        <v>90</v>
      </c>
      <c r="G15" s="16"/>
      <c r="H15" s="12"/>
      <c r="I15" s="27"/>
      <c r="J15" s="16"/>
    </row>
    <row r="16" spans="1:10" ht="42" customHeight="1">
      <c r="A16" s="17" t="s">
        <v>75</v>
      </c>
      <c r="B16" s="21">
        <v>12</v>
      </c>
      <c r="C16" s="28" t="s">
        <v>112</v>
      </c>
      <c r="D16" s="24" t="s">
        <v>113</v>
      </c>
      <c r="E16" s="29" t="s">
        <v>89</v>
      </c>
      <c r="F16" s="21" t="s">
        <v>90</v>
      </c>
      <c r="G16" s="24"/>
      <c r="H16" s="20"/>
      <c r="I16" s="30"/>
      <c r="J16" s="24"/>
    </row>
    <row r="17" spans="1:10" ht="42" customHeight="1">
      <c r="A17" s="9" t="s">
        <v>75</v>
      </c>
      <c r="B17" s="13">
        <v>13</v>
      </c>
      <c r="C17" s="25" t="s">
        <v>114</v>
      </c>
      <c r="D17" s="16" t="s">
        <v>115</v>
      </c>
      <c r="E17" s="26" t="s">
        <v>89</v>
      </c>
      <c r="F17" s="13" t="s">
        <v>90</v>
      </c>
      <c r="G17" s="16"/>
      <c r="H17" s="12"/>
      <c r="I17" s="27"/>
      <c r="J17" s="16"/>
    </row>
    <row r="18" spans="1:10" ht="42" customHeight="1">
      <c r="A18" s="17" t="s">
        <v>75</v>
      </c>
      <c r="B18" s="21">
        <v>14</v>
      </c>
      <c r="C18" s="28" t="s">
        <v>116</v>
      </c>
      <c r="D18" s="24" t="s">
        <v>117</v>
      </c>
      <c r="E18" s="29" t="s">
        <v>89</v>
      </c>
      <c r="F18" s="21" t="s">
        <v>90</v>
      </c>
      <c r="G18" s="24"/>
      <c r="H18" s="20"/>
      <c r="I18" s="30"/>
      <c r="J18" s="24"/>
    </row>
    <row r="19" spans="1:10" ht="42" customHeight="1">
      <c r="A19" s="9" t="s">
        <v>75</v>
      </c>
      <c r="B19" s="13">
        <v>15</v>
      </c>
      <c r="C19" s="25" t="s">
        <v>118</v>
      </c>
      <c r="D19" s="16" t="s">
        <v>119</v>
      </c>
      <c r="E19" s="26" t="s">
        <v>89</v>
      </c>
      <c r="F19" s="13" t="s">
        <v>90</v>
      </c>
      <c r="G19" s="16"/>
      <c r="H19" s="12"/>
      <c r="I19" s="27"/>
      <c r="J19" s="16"/>
    </row>
    <row r="20" spans="1:10" ht="42" customHeight="1">
      <c r="A20" s="17" t="s">
        <v>75</v>
      </c>
      <c r="B20" s="21">
        <v>16</v>
      </c>
      <c r="C20" s="28" t="s">
        <v>120</v>
      </c>
      <c r="D20" s="24" t="s">
        <v>121</v>
      </c>
      <c r="E20" s="29" t="s">
        <v>89</v>
      </c>
      <c r="F20" s="21" t="s">
        <v>90</v>
      </c>
      <c r="G20" s="24"/>
      <c r="H20" s="20"/>
      <c r="I20" s="30"/>
      <c r="J20" s="24"/>
    </row>
    <row r="21" spans="1:10" ht="42" customHeight="1">
      <c r="A21" s="9" t="s">
        <v>75</v>
      </c>
      <c r="B21" s="13">
        <v>17</v>
      </c>
      <c r="C21" s="25" t="s">
        <v>122</v>
      </c>
      <c r="D21" s="16" t="s">
        <v>123</v>
      </c>
      <c r="E21" s="26" t="s">
        <v>89</v>
      </c>
      <c r="F21" s="13" t="s">
        <v>90</v>
      </c>
      <c r="G21" s="16"/>
      <c r="H21" s="12"/>
      <c r="I21" s="27"/>
      <c r="J21" s="16"/>
    </row>
    <row r="22" spans="1:10" ht="18" customHeight="1">
      <c r="A22" s="19"/>
      <c r="B22" s="19"/>
      <c r="C22" s="19"/>
      <c r="D22" s="19"/>
      <c r="E22" s="19"/>
      <c r="F22" s="19"/>
      <c r="G22" s="19"/>
      <c r="H22" s="19"/>
      <c r="I22" s="33"/>
      <c r="J22" s="19"/>
    </row>
    <row r="23" spans="1:10" ht="18" customHeight="1">
      <c r="A23" s="11"/>
      <c r="B23" s="11"/>
      <c r="C23" s="11"/>
      <c r="D23" s="11"/>
      <c r="E23" s="11"/>
      <c r="F23" s="11"/>
      <c r="G23" s="11"/>
      <c r="H23" s="11"/>
      <c r="I23" s="34"/>
      <c r="J23" s="11"/>
    </row>
    <row r="24" spans="1:10" ht="18" customHeight="1">
      <c r="A24" s="19"/>
      <c r="B24" s="19"/>
      <c r="C24" s="19"/>
      <c r="D24" s="19"/>
      <c r="E24" s="19"/>
      <c r="F24" s="19"/>
      <c r="G24" s="19"/>
      <c r="H24" s="19"/>
      <c r="I24" s="33"/>
      <c r="J24" s="19"/>
    </row>
    <row r="25" spans="1:10" ht="18" customHeight="1">
      <c r="A25" s="11"/>
      <c r="B25" s="11"/>
      <c r="C25" s="11"/>
      <c r="D25" s="11"/>
      <c r="E25" s="11"/>
      <c r="F25" s="11"/>
      <c r="G25" s="11"/>
      <c r="H25" s="11"/>
      <c r="I25" s="34"/>
      <c r="J25" s="11"/>
    </row>
    <row r="26" spans="1:10" ht="18" customHeight="1">
      <c r="A26" s="19"/>
      <c r="B26" s="19"/>
      <c r="C26" s="19"/>
      <c r="D26" s="19"/>
      <c r="E26" s="19"/>
      <c r="F26" s="19"/>
      <c r="G26" s="19"/>
      <c r="H26" s="19"/>
      <c r="I26" s="33"/>
      <c r="J26" s="19"/>
    </row>
    <row r="27" spans="1:10" ht="18" customHeight="1">
      <c r="A27" s="11"/>
      <c r="B27" s="11"/>
      <c r="C27" s="11"/>
      <c r="D27" s="11"/>
      <c r="E27" s="11"/>
      <c r="F27" s="11"/>
      <c r="G27" s="11"/>
      <c r="H27" s="11"/>
      <c r="I27" s="34"/>
      <c r="J27" s="11"/>
    </row>
    <row r="28" spans="1:10" ht="18" customHeight="1">
      <c r="A28" s="19"/>
      <c r="B28" s="19"/>
      <c r="C28" s="19"/>
      <c r="D28" s="19"/>
      <c r="E28" s="19"/>
      <c r="F28" s="19"/>
      <c r="G28" s="19"/>
      <c r="H28" s="19"/>
      <c r="I28" s="33"/>
      <c r="J28" s="19"/>
    </row>
    <row r="29" spans="1:10" ht="18" customHeight="1">
      <c r="A29" s="11"/>
      <c r="B29" s="11"/>
      <c r="C29" s="11"/>
      <c r="D29" s="11"/>
      <c r="E29" s="11"/>
      <c r="F29" s="11"/>
      <c r="G29" s="11"/>
      <c r="H29" s="11"/>
      <c r="I29" s="34"/>
      <c r="J29" s="11"/>
    </row>
    <row r="30" spans="1:10" ht="18" customHeight="1">
      <c r="A30" s="19"/>
      <c r="B30" s="19"/>
      <c r="C30" s="19"/>
      <c r="D30" s="19"/>
      <c r="E30" s="19"/>
      <c r="F30" s="19"/>
      <c r="G30" s="19"/>
      <c r="H30" s="19"/>
      <c r="I30" s="33"/>
      <c r="J30" s="19"/>
    </row>
    <row r="31" spans="1:10" ht="18" customHeight="1">
      <c r="A31" s="11"/>
      <c r="B31" s="11"/>
      <c r="C31" s="11"/>
      <c r="D31" s="11"/>
      <c r="E31" s="11"/>
      <c r="F31" s="11"/>
      <c r="G31" s="11"/>
      <c r="H31" s="11"/>
      <c r="I31" s="34"/>
      <c r="J31" s="11"/>
    </row>
    <row r="32" spans="1:10" ht="18" customHeight="1">
      <c r="A32" s="19"/>
      <c r="B32" s="19"/>
      <c r="C32" s="19"/>
      <c r="D32" s="19"/>
      <c r="E32" s="19"/>
      <c r="F32" s="19"/>
      <c r="G32" s="19"/>
      <c r="H32" s="19"/>
      <c r="I32" s="33"/>
      <c r="J32" s="19"/>
    </row>
    <row r="33" spans="1:10" ht="18" customHeight="1">
      <c r="A33" s="11"/>
      <c r="B33" s="11"/>
      <c r="C33" s="11"/>
      <c r="D33" s="11"/>
      <c r="E33" s="11"/>
      <c r="F33" s="11"/>
      <c r="G33" s="11"/>
      <c r="H33" s="11"/>
      <c r="I33" s="34"/>
      <c r="J33" s="11"/>
    </row>
    <row r="34" spans="1:10" ht="18" customHeight="1">
      <c r="A34" s="19"/>
      <c r="B34" s="19"/>
      <c r="C34" s="19"/>
      <c r="D34" s="19"/>
      <c r="E34" s="19"/>
      <c r="F34" s="19"/>
      <c r="G34" s="19"/>
      <c r="H34" s="19"/>
      <c r="I34" s="33"/>
      <c r="J34" s="19"/>
    </row>
    <row r="35" spans="1:10" ht="18" customHeight="1">
      <c r="A35" s="11"/>
      <c r="B35" s="11"/>
      <c r="C35" s="11"/>
      <c r="D35" s="11"/>
      <c r="E35" s="11"/>
      <c r="F35" s="11"/>
      <c r="G35" s="11"/>
      <c r="H35" s="11"/>
      <c r="I35" s="34"/>
      <c r="J35" s="11"/>
    </row>
    <row r="36" spans="1:10" ht="18" customHeight="1">
      <c r="A36" s="19"/>
      <c r="B36" s="19"/>
      <c r="C36" s="19"/>
      <c r="D36" s="19"/>
      <c r="E36" s="19"/>
      <c r="F36" s="19"/>
      <c r="G36" s="19"/>
      <c r="H36" s="19"/>
      <c r="I36" s="33"/>
      <c r="J36" s="19"/>
    </row>
    <row r="37" spans="1:10" ht="18" customHeight="1">
      <c r="A37" s="11"/>
      <c r="B37" s="11"/>
      <c r="C37" s="11"/>
      <c r="D37" s="11"/>
      <c r="E37" s="11"/>
      <c r="F37" s="11"/>
      <c r="G37" s="11"/>
      <c r="H37" s="11"/>
      <c r="I37" s="34"/>
      <c r="J37" s="11"/>
    </row>
    <row r="38" spans="1:10" ht="18" customHeight="1">
      <c r="A38" s="19"/>
      <c r="B38" s="19"/>
      <c r="C38" s="19"/>
      <c r="D38" s="19"/>
      <c r="E38" s="19"/>
      <c r="F38" s="19"/>
      <c r="G38" s="19"/>
      <c r="H38" s="19"/>
      <c r="I38" s="33"/>
      <c r="J38" s="19"/>
    </row>
    <row r="39" spans="1:10" ht="18" customHeight="1">
      <c r="A39" s="11"/>
      <c r="B39" s="11"/>
      <c r="C39" s="11"/>
      <c r="D39" s="11"/>
      <c r="E39" s="11"/>
      <c r="F39" s="11"/>
      <c r="G39" s="11"/>
      <c r="H39" s="11"/>
      <c r="I39" s="34"/>
      <c r="J39" s="11"/>
    </row>
    <row r="40" spans="1:10" ht="18" customHeight="1">
      <c r="A40" s="19"/>
      <c r="B40" s="19"/>
      <c r="C40" s="19"/>
      <c r="D40" s="19"/>
      <c r="E40" s="19"/>
      <c r="F40" s="19"/>
      <c r="G40" s="19"/>
      <c r="H40" s="19"/>
      <c r="I40" s="33"/>
      <c r="J40" s="19"/>
    </row>
    <row r="41" spans="1:10" ht="18" customHeight="1">
      <c r="A41" s="11"/>
      <c r="B41" s="11"/>
      <c r="C41" s="11"/>
      <c r="D41" s="11"/>
      <c r="E41" s="11"/>
      <c r="F41" s="11"/>
      <c r="G41" s="11"/>
      <c r="H41" s="11"/>
      <c r="I41" s="34"/>
      <c r="J41" s="11"/>
    </row>
    <row r="42" spans="1:10" ht="18" customHeight="1">
      <c r="A42" s="19"/>
      <c r="B42" s="19"/>
      <c r="C42" s="19"/>
      <c r="D42" s="19"/>
      <c r="E42" s="19"/>
      <c r="F42" s="19"/>
      <c r="G42" s="19"/>
      <c r="H42" s="19"/>
      <c r="I42" s="33"/>
      <c r="J42" s="19"/>
    </row>
    <row r="43" spans="1:10" ht="18" customHeight="1">
      <c r="A43" s="11"/>
      <c r="B43" s="11"/>
      <c r="C43" s="11"/>
      <c r="D43" s="11"/>
      <c r="E43" s="11"/>
      <c r="F43" s="11"/>
      <c r="G43" s="11"/>
      <c r="H43" s="11"/>
      <c r="I43" s="34"/>
      <c r="J43" s="11"/>
    </row>
    <row r="44" spans="1:10" ht="18" customHeight="1">
      <c r="A44" s="19"/>
      <c r="B44" s="19"/>
      <c r="C44" s="19"/>
      <c r="D44" s="19"/>
      <c r="E44" s="19"/>
      <c r="F44" s="19"/>
      <c r="G44" s="19"/>
      <c r="H44" s="19"/>
      <c r="I44" s="33"/>
      <c r="J44" s="19"/>
    </row>
    <row r="45" spans="1:10" ht="18" customHeight="1">
      <c r="A45" s="11"/>
      <c r="B45" s="11"/>
      <c r="C45" s="11"/>
      <c r="D45" s="11"/>
      <c r="E45" s="11"/>
      <c r="F45" s="11"/>
      <c r="G45" s="11"/>
      <c r="H45" s="11"/>
      <c r="I45" s="34"/>
      <c r="J45" s="11"/>
    </row>
    <row r="46" spans="1:10" ht="18" customHeight="1">
      <c r="A46" s="19"/>
      <c r="B46" s="19"/>
      <c r="C46" s="19"/>
      <c r="D46" s="19"/>
      <c r="E46" s="19"/>
      <c r="F46" s="19"/>
      <c r="G46" s="19"/>
      <c r="H46" s="19"/>
      <c r="I46" s="33"/>
      <c r="J46" s="19"/>
    </row>
    <row r="47" spans="1:10" ht="18" customHeight="1">
      <c r="A47" s="11"/>
      <c r="B47" s="11"/>
      <c r="C47" s="11"/>
      <c r="D47" s="11"/>
      <c r="E47" s="11"/>
      <c r="F47" s="11"/>
      <c r="G47" s="11"/>
      <c r="H47" s="11"/>
      <c r="I47" s="34"/>
      <c r="J47" s="11"/>
    </row>
    <row r="48" spans="1:10" ht="18" customHeight="1">
      <c r="A48" s="19"/>
      <c r="B48" s="19"/>
      <c r="C48" s="19"/>
      <c r="D48" s="19"/>
      <c r="E48" s="19"/>
      <c r="F48" s="19"/>
      <c r="G48" s="19"/>
      <c r="H48" s="19"/>
      <c r="I48" s="33"/>
      <c r="J48" s="19"/>
    </row>
    <row r="49" spans="1:10" ht="18" customHeight="1">
      <c r="A49" s="11"/>
      <c r="B49" s="11"/>
      <c r="C49" s="11"/>
      <c r="D49" s="11"/>
      <c r="E49" s="11"/>
      <c r="F49" s="11"/>
      <c r="G49" s="11"/>
      <c r="H49" s="11"/>
      <c r="I49" s="34"/>
      <c r="J49" s="11"/>
    </row>
    <row r="50" spans="1:10" ht="18" customHeight="1">
      <c r="A50" s="19"/>
      <c r="B50" s="19"/>
      <c r="C50" s="19"/>
      <c r="D50" s="19"/>
      <c r="E50" s="19"/>
      <c r="F50" s="19"/>
      <c r="G50" s="19"/>
      <c r="H50" s="19"/>
      <c r="I50" s="33"/>
      <c r="J50" s="19"/>
    </row>
    <row r="51" spans="1:10" ht="18" customHeight="1">
      <c r="A51" s="11"/>
      <c r="B51" s="11"/>
      <c r="C51" s="11"/>
      <c r="D51" s="11"/>
      <c r="E51" s="11"/>
      <c r="F51" s="11"/>
      <c r="G51" s="11"/>
      <c r="H51" s="11"/>
      <c r="I51" s="34"/>
      <c r="J51" s="11"/>
    </row>
    <row r="52" spans="1:10" ht="18" customHeight="1">
      <c r="A52" s="19"/>
      <c r="B52" s="19"/>
      <c r="C52" s="19"/>
      <c r="D52" s="19"/>
      <c r="E52" s="19"/>
      <c r="F52" s="19"/>
      <c r="G52" s="19"/>
      <c r="H52" s="19"/>
      <c r="I52" s="33"/>
      <c r="J52" s="19"/>
    </row>
    <row r="53" spans="1:10" ht="18" customHeight="1">
      <c r="A53" s="11"/>
      <c r="B53" s="11"/>
      <c r="C53" s="11"/>
      <c r="D53" s="11"/>
      <c r="E53" s="11"/>
      <c r="F53" s="11"/>
      <c r="G53" s="11"/>
      <c r="H53" s="11"/>
      <c r="I53" s="34"/>
      <c r="J53" s="11"/>
    </row>
    <row r="54" spans="1:10" ht="18" customHeight="1">
      <c r="A54" s="19"/>
      <c r="B54" s="19"/>
      <c r="C54" s="19"/>
      <c r="D54" s="19"/>
      <c r="E54" s="19"/>
      <c r="F54" s="19"/>
      <c r="G54" s="19"/>
      <c r="H54" s="19"/>
      <c r="I54" s="33"/>
      <c r="J54" s="19"/>
    </row>
    <row r="55" spans="1:10" ht="18" customHeight="1">
      <c r="A55" s="11"/>
      <c r="B55" s="11"/>
      <c r="C55" s="11"/>
      <c r="D55" s="11"/>
      <c r="E55" s="11"/>
      <c r="F55" s="11"/>
      <c r="G55" s="11"/>
      <c r="H55" s="11"/>
      <c r="I55" s="34"/>
      <c r="J55" s="11"/>
    </row>
    <row r="56" spans="1:10" ht="18" customHeight="1">
      <c r="A56" s="19"/>
      <c r="B56" s="19"/>
      <c r="C56" s="19"/>
      <c r="D56" s="19"/>
      <c r="E56" s="19"/>
      <c r="F56" s="19"/>
      <c r="G56" s="19"/>
      <c r="H56" s="19"/>
      <c r="I56" s="33"/>
      <c r="J56" s="19"/>
    </row>
    <row r="57" spans="1:10" ht="18" customHeight="1">
      <c r="A57" s="11"/>
      <c r="B57" s="11"/>
      <c r="C57" s="11"/>
      <c r="D57" s="11"/>
      <c r="E57" s="11"/>
      <c r="F57" s="11"/>
      <c r="G57" s="11"/>
      <c r="H57" s="11"/>
      <c r="I57" s="34"/>
      <c r="J57" s="11"/>
    </row>
    <row r="58" spans="1:10" ht="18" customHeight="1">
      <c r="A58" s="19"/>
      <c r="B58" s="19"/>
      <c r="C58" s="19"/>
      <c r="D58" s="19"/>
      <c r="E58" s="19"/>
      <c r="F58" s="19"/>
      <c r="G58" s="19"/>
      <c r="H58" s="19"/>
      <c r="I58" s="33"/>
      <c r="J58" s="19"/>
    </row>
    <row r="59" spans="1:10" ht="18" customHeight="1">
      <c r="A59" s="11"/>
      <c r="B59" s="11"/>
      <c r="C59" s="11"/>
      <c r="D59" s="11"/>
      <c r="E59" s="11"/>
      <c r="F59" s="11"/>
      <c r="G59" s="11"/>
      <c r="H59" s="11"/>
      <c r="I59" s="34"/>
      <c r="J59" s="11"/>
    </row>
    <row r="60" spans="1:10" ht="18" customHeight="1">
      <c r="A60" s="19"/>
      <c r="B60" s="19"/>
      <c r="C60" s="19"/>
      <c r="D60" s="19"/>
      <c r="E60" s="19"/>
      <c r="F60" s="19"/>
      <c r="G60" s="19"/>
      <c r="H60" s="19"/>
      <c r="I60" s="33"/>
      <c r="J60" s="19"/>
    </row>
    <row r="61" spans="1:10" ht="18" customHeight="1">
      <c r="A61" s="11"/>
      <c r="B61" s="11"/>
      <c r="C61" s="11"/>
      <c r="D61" s="11"/>
      <c r="E61" s="11"/>
      <c r="F61" s="11"/>
      <c r="G61" s="11"/>
      <c r="H61" s="11"/>
      <c r="I61" s="34"/>
      <c r="J61" s="11"/>
    </row>
    <row r="62" spans="1:10" ht="18" customHeight="1">
      <c r="A62" s="19"/>
      <c r="B62" s="19"/>
      <c r="C62" s="19"/>
      <c r="D62" s="19"/>
      <c r="E62" s="19"/>
      <c r="F62" s="19"/>
      <c r="G62" s="19"/>
      <c r="H62" s="19"/>
      <c r="I62" s="33"/>
      <c r="J62" s="19"/>
    </row>
    <row r="63" spans="1:10" ht="18" customHeight="1">
      <c r="A63" s="11"/>
      <c r="B63" s="11"/>
      <c r="C63" s="11"/>
      <c r="D63" s="11"/>
      <c r="E63" s="11"/>
      <c r="F63" s="11"/>
      <c r="G63" s="11"/>
      <c r="H63" s="11"/>
      <c r="I63" s="34"/>
      <c r="J63" s="11"/>
    </row>
    <row r="64" spans="1:10" ht="18" customHeight="1">
      <c r="A64" s="19"/>
      <c r="B64" s="19"/>
      <c r="C64" s="19"/>
      <c r="D64" s="19"/>
      <c r="E64" s="19"/>
      <c r="F64" s="19"/>
      <c r="G64" s="19"/>
      <c r="H64" s="19"/>
      <c r="I64" s="33"/>
      <c r="J64" s="19"/>
    </row>
    <row r="65" spans="1:10" ht="18" customHeight="1">
      <c r="A65" s="11"/>
      <c r="B65" s="11"/>
      <c r="C65" s="11"/>
      <c r="D65" s="11"/>
      <c r="E65" s="11"/>
      <c r="F65" s="11"/>
      <c r="G65" s="11"/>
      <c r="H65" s="11"/>
      <c r="I65" s="34"/>
      <c r="J65" s="11"/>
    </row>
    <row r="66" spans="1:10" ht="18" customHeight="1">
      <c r="A66" s="19"/>
      <c r="B66" s="19"/>
      <c r="C66" s="19"/>
      <c r="D66" s="19"/>
      <c r="E66" s="19"/>
      <c r="F66" s="19"/>
      <c r="G66" s="19"/>
      <c r="H66" s="19"/>
      <c r="I66" s="33"/>
      <c r="J66" s="19"/>
    </row>
    <row r="67" spans="1:10" ht="18" customHeight="1">
      <c r="A67" s="11"/>
      <c r="B67" s="11"/>
      <c r="C67" s="11"/>
      <c r="D67" s="11"/>
      <c r="E67" s="11"/>
      <c r="F67" s="11"/>
      <c r="G67" s="11"/>
      <c r="H67" s="11"/>
      <c r="I67" s="34"/>
      <c r="J67" s="11"/>
    </row>
    <row r="68" spans="1:10" ht="18" customHeight="1">
      <c r="A68" s="19"/>
      <c r="B68" s="19"/>
      <c r="C68" s="19"/>
      <c r="D68" s="19"/>
      <c r="E68" s="19"/>
      <c r="F68" s="19"/>
      <c r="G68" s="19"/>
      <c r="H68" s="19"/>
      <c r="I68" s="33"/>
      <c r="J68" s="19"/>
    </row>
    <row r="69" spans="1:10" ht="18" customHeight="1">
      <c r="A69" s="11"/>
      <c r="B69" s="11"/>
      <c r="C69" s="11"/>
      <c r="D69" s="11"/>
      <c r="E69" s="11"/>
      <c r="F69" s="11"/>
      <c r="G69" s="11"/>
      <c r="H69" s="11"/>
      <c r="I69" s="34"/>
      <c r="J69" s="11"/>
    </row>
    <row r="70" spans="1:10" ht="18" customHeight="1">
      <c r="A70" s="19"/>
      <c r="B70" s="19"/>
      <c r="C70" s="19"/>
      <c r="D70" s="19"/>
      <c r="E70" s="19"/>
      <c r="F70" s="19"/>
      <c r="G70" s="19"/>
      <c r="H70" s="19"/>
      <c r="I70" s="33"/>
      <c r="J70" s="19"/>
    </row>
    <row r="71" spans="1:10" ht="18" customHeight="1">
      <c r="A71" s="11"/>
      <c r="B71" s="11"/>
      <c r="C71" s="11"/>
      <c r="D71" s="11"/>
      <c r="E71" s="11"/>
      <c r="F71" s="11"/>
      <c r="G71" s="11"/>
      <c r="H71" s="11"/>
      <c r="I71" s="34"/>
      <c r="J71" s="11"/>
    </row>
    <row r="72" spans="1:10" ht="18" customHeight="1">
      <c r="A72" s="19"/>
      <c r="B72" s="19"/>
      <c r="C72" s="19"/>
      <c r="D72" s="19"/>
      <c r="E72" s="19"/>
      <c r="F72" s="19"/>
      <c r="G72" s="19"/>
      <c r="H72" s="19"/>
      <c r="I72" s="33"/>
      <c r="J72" s="19"/>
    </row>
    <row r="73" spans="1:10" ht="18" customHeight="1">
      <c r="A73" s="11"/>
      <c r="B73" s="11"/>
      <c r="C73" s="11"/>
      <c r="D73" s="11"/>
      <c r="E73" s="11"/>
      <c r="F73" s="11"/>
      <c r="G73" s="11"/>
      <c r="H73" s="11"/>
      <c r="I73" s="34"/>
      <c r="J73" s="11"/>
    </row>
    <row r="74" spans="1:10" ht="18" customHeight="1">
      <c r="A74" s="19"/>
      <c r="B74" s="19"/>
      <c r="C74" s="19"/>
      <c r="D74" s="19"/>
      <c r="E74" s="19"/>
      <c r="F74" s="19"/>
      <c r="G74" s="19"/>
      <c r="H74" s="19"/>
      <c r="I74" s="33"/>
      <c r="J74" s="19"/>
    </row>
    <row r="75" spans="1:10" ht="18" customHeight="1">
      <c r="A75" s="11"/>
      <c r="B75" s="11"/>
      <c r="C75" s="11"/>
      <c r="D75" s="11"/>
      <c r="E75" s="11"/>
      <c r="F75" s="11"/>
      <c r="G75" s="11"/>
      <c r="H75" s="11"/>
      <c r="I75" s="34"/>
      <c r="J75" s="11"/>
    </row>
    <row r="76" spans="1:10" ht="18" customHeight="1">
      <c r="A76" s="19"/>
      <c r="B76" s="19"/>
      <c r="C76" s="19"/>
      <c r="D76" s="19"/>
      <c r="E76" s="19"/>
      <c r="F76" s="19"/>
      <c r="G76" s="19"/>
      <c r="H76" s="19"/>
      <c r="I76" s="33"/>
      <c r="J76" s="19"/>
    </row>
    <row r="77" spans="1:10" ht="18" customHeight="1">
      <c r="A77" s="11"/>
      <c r="B77" s="11"/>
      <c r="C77" s="11"/>
      <c r="D77" s="11"/>
      <c r="E77" s="11"/>
      <c r="F77" s="11"/>
      <c r="G77" s="11"/>
      <c r="H77" s="11"/>
      <c r="I77" s="34"/>
      <c r="J77" s="11"/>
    </row>
    <row r="78" spans="1:10" ht="18" customHeight="1">
      <c r="A78" s="19"/>
      <c r="B78" s="19"/>
      <c r="C78" s="19"/>
      <c r="D78" s="19"/>
      <c r="E78" s="19"/>
      <c r="F78" s="19"/>
      <c r="G78" s="19"/>
      <c r="H78" s="19"/>
      <c r="I78" s="33"/>
      <c r="J78" s="19"/>
    </row>
    <row r="79" spans="1:10" ht="18" customHeight="1">
      <c r="A79" s="11"/>
      <c r="B79" s="11"/>
      <c r="C79" s="11"/>
      <c r="D79" s="11"/>
      <c r="E79" s="11"/>
      <c r="F79" s="11"/>
      <c r="G79" s="11"/>
      <c r="H79" s="11"/>
      <c r="I79" s="34"/>
      <c r="J79" s="11"/>
    </row>
    <row r="80" spans="1:10" ht="18" customHeight="1">
      <c r="A80" s="19"/>
      <c r="B80" s="19"/>
      <c r="C80" s="19"/>
      <c r="D80" s="19"/>
      <c r="E80" s="19"/>
      <c r="F80" s="19"/>
      <c r="G80" s="19"/>
      <c r="H80" s="19"/>
      <c r="I80" s="33"/>
      <c r="J80" s="19"/>
    </row>
    <row r="81" spans="1:10" ht="18" customHeight="1">
      <c r="A81" s="11"/>
      <c r="B81" s="11"/>
      <c r="C81" s="11"/>
      <c r="D81" s="11"/>
      <c r="E81" s="11"/>
      <c r="F81" s="11"/>
      <c r="G81" s="11"/>
      <c r="H81" s="11"/>
      <c r="I81" s="34"/>
      <c r="J81" s="11"/>
    </row>
    <row r="82" spans="1:10" ht="18" customHeight="1">
      <c r="A82" s="19"/>
      <c r="B82" s="19"/>
      <c r="C82" s="19"/>
      <c r="D82" s="19"/>
      <c r="E82" s="19"/>
      <c r="F82" s="19"/>
      <c r="G82" s="19"/>
      <c r="H82" s="19"/>
      <c r="I82" s="33"/>
      <c r="J82" s="19"/>
    </row>
    <row r="83" spans="1:10" ht="18" customHeight="1">
      <c r="A83" s="11"/>
      <c r="B83" s="11"/>
      <c r="C83" s="11"/>
      <c r="D83" s="11"/>
      <c r="E83" s="11"/>
      <c r="F83" s="11"/>
      <c r="G83" s="11"/>
      <c r="H83" s="11"/>
      <c r="I83" s="34"/>
      <c r="J83" s="11"/>
    </row>
    <row r="84" spans="1:10" ht="18" customHeight="1">
      <c r="A84" s="19"/>
      <c r="B84" s="19"/>
      <c r="C84" s="19"/>
      <c r="D84" s="19"/>
      <c r="E84" s="19"/>
      <c r="F84" s="19"/>
      <c r="G84" s="19"/>
      <c r="H84" s="19"/>
      <c r="I84" s="33"/>
      <c r="J84" s="19"/>
    </row>
    <row r="85" spans="1:10" ht="18" customHeight="1">
      <c r="A85" s="11"/>
      <c r="B85" s="11"/>
      <c r="C85" s="11"/>
      <c r="D85" s="11"/>
      <c r="E85" s="11"/>
      <c r="F85" s="11"/>
      <c r="G85" s="11"/>
      <c r="H85" s="11"/>
      <c r="I85" s="34"/>
      <c r="J85" s="11"/>
    </row>
    <row r="86" spans="1:10" ht="18" customHeight="1">
      <c r="A86" s="19"/>
      <c r="B86" s="19"/>
      <c r="C86" s="19"/>
      <c r="D86" s="19"/>
      <c r="E86" s="19"/>
      <c r="F86" s="19"/>
      <c r="G86" s="19"/>
      <c r="H86" s="19"/>
      <c r="I86" s="33"/>
      <c r="J86" s="19"/>
    </row>
    <row r="87" spans="1:10" ht="18" customHeight="1">
      <c r="A87" s="11"/>
      <c r="B87" s="11"/>
      <c r="C87" s="11"/>
      <c r="D87" s="11"/>
      <c r="E87" s="11"/>
      <c r="F87" s="11"/>
      <c r="G87" s="11"/>
      <c r="H87" s="11"/>
      <c r="I87" s="34"/>
      <c r="J87" s="11"/>
    </row>
    <row r="88" spans="1:10" ht="18" customHeight="1">
      <c r="A88" s="19"/>
      <c r="B88" s="19"/>
      <c r="C88" s="19"/>
      <c r="D88" s="19"/>
      <c r="E88" s="19"/>
      <c r="F88" s="19"/>
      <c r="G88" s="19"/>
      <c r="H88" s="19"/>
      <c r="I88" s="33"/>
      <c r="J88" s="19"/>
    </row>
    <row r="89" spans="1:10" ht="18" customHeight="1">
      <c r="A89" s="11"/>
      <c r="B89" s="11"/>
      <c r="C89" s="11"/>
      <c r="D89" s="11"/>
      <c r="E89" s="11"/>
      <c r="F89" s="11"/>
      <c r="G89" s="11"/>
      <c r="H89" s="11"/>
      <c r="I89" s="34"/>
      <c r="J89" s="11"/>
    </row>
    <row r="90" spans="1:10" ht="18" customHeight="1">
      <c r="A90" s="19"/>
      <c r="B90" s="19"/>
      <c r="C90" s="19"/>
      <c r="D90" s="19"/>
      <c r="E90" s="19"/>
      <c r="F90" s="19"/>
      <c r="G90" s="19"/>
      <c r="H90" s="19"/>
      <c r="I90" s="33"/>
      <c r="J90" s="19"/>
    </row>
    <row r="91" spans="1:10" ht="18" customHeight="1">
      <c r="A91" s="11"/>
      <c r="B91" s="11"/>
      <c r="C91" s="11"/>
      <c r="D91" s="11"/>
      <c r="E91" s="11"/>
      <c r="F91" s="11"/>
      <c r="G91" s="11"/>
      <c r="H91" s="11"/>
      <c r="I91" s="34"/>
      <c r="J91" s="11"/>
    </row>
    <row r="92" spans="1:10" ht="18" customHeight="1">
      <c r="A92" s="19"/>
      <c r="B92" s="19"/>
      <c r="C92" s="19"/>
      <c r="D92" s="19"/>
      <c r="E92" s="19"/>
      <c r="F92" s="19"/>
      <c r="G92" s="19"/>
      <c r="H92" s="19"/>
      <c r="I92" s="33"/>
      <c r="J92" s="19"/>
    </row>
    <row r="93" spans="1:10" ht="18" customHeight="1">
      <c r="A93" s="11"/>
      <c r="B93" s="11"/>
      <c r="C93" s="11"/>
      <c r="D93" s="11"/>
      <c r="E93" s="11"/>
      <c r="F93" s="11"/>
      <c r="G93" s="11"/>
      <c r="H93" s="11"/>
      <c r="I93" s="34"/>
      <c r="J93" s="11"/>
    </row>
    <row r="94" spans="1:10" ht="18" customHeight="1">
      <c r="A94" s="19"/>
      <c r="B94" s="19"/>
      <c r="C94" s="19"/>
      <c r="D94" s="19"/>
      <c r="E94" s="19"/>
      <c r="F94" s="19"/>
      <c r="G94" s="19"/>
      <c r="H94" s="19"/>
      <c r="I94" s="33"/>
      <c r="J94" s="19"/>
    </row>
    <row r="95" spans="1:10" ht="18" customHeight="1">
      <c r="A95" s="11"/>
      <c r="B95" s="11"/>
      <c r="C95" s="11"/>
      <c r="D95" s="11"/>
      <c r="E95" s="11"/>
      <c r="F95" s="11"/>
      <c r="G95" s="11"/>
      <c r="H95" s="11"/>
      <c r="I95" s="34"/>
      <c r="J95" s="11"/>
    </row>
    <row r="96" spans="1:10" ht="18" customHeight="1">
      <c r="A96" s="19"/>
      <c r="B96" s="19"/>
      <c r="C96" s="19"/>
      <c r="D96" s="19"/>
      <c r="E96" s="19"/>
      <c r="F96" s="19"/>
      <c r="G96" s="19"/>
      <c r="H96" s="19"/>
      <c r="I96" s="33"/>
      <c r="J96" s="19"/>
    </row>
    <row r="97" spans="1:10" ht="18" customHeight="1">
      <c r="A97" s="11"/>
      <c r="B97" s="11"/>
      <c r="C97" s="11"/>
      <c r="D97" s="11"/>
      <c r="E97" s="11"/>
      <c r="F97" s="11"/>
      <c r="G97" s="11"/>
      <c r="H97" s="11"/>
      <c r="I97" s="34"/>
      <c r="J97" s="11"/>
    </row>
    <row r="98" spans="1:10" ht="18" customHeight="1">
      <c r="A98" s="19"/>
      <c r="B98" s="19"/>
      <c r="C98" s="19"/>
      <c r="D98" s="19"/>
      <c r="E98" s="19"/>
      <c r="F98" s="19"/>
      <c r="G98" s="19"/>
      <c r="H98" s="19"/>
      <c r="I98" s="33"/>
      <c r="J98" s="19"/>
    </row>
    <row r="99" spans="1:10" ht="18" customHeight="1">
      <c r="A99" s="11"/>
      <c r="B99" s="11"/>
      <c r="C99" s="11"/>
      <c r="D99" s="11"/>
      <c r="E99" s="11"/>
      <c r="F99" s="11"/>
      <c r="G99" s="11"/>
      <c r="H99" s="11"/>
      <c r="I99" s="34"/>
      <c r="J99" s="11"/>
    </row>
    <row r="100" spans="1:10" ht="18" customHeight="1">
      <c r="A100" s="19"/>
      <c r="B100" s="19"/>
      <c r="C100" s="19"/>
      <c r="D100" s="19"/>
      <c r="E100" s="19"/>
      <c r="F100" s="19"/>
      <c r="G100" s="19"/>
      <c r="H100" s="19"/>
      <c r="I100" s="33"/>
      <c r="J100" s="19"/>
    </row>
    <row r="101" spans="1:10" ht="18" customHeight="1">
      <c r="A101" s="11"/>
      <c r="B101" s="11"/>
      <c r="C101" s="11"/>
      <c r="D101" s="11"/>
      <c r="E101" s="11"/>
      <c r="F101" s="11"/>
      <c r="G101" s="11"/>
      <c r="H101" s="11"/>
      <c r="I101" s="34"/>
      <c r="J101" s="11"/>
    </row>
    <row r="102" spans="1:10" ht="18" customHeight="1">
      <c r="A102" s="19"/>
      <c r="B102" s="19"/>
      <c r="C102" s="19"/>
      <c r="D102" s="19"/>
      <c r="E102" s="19"/>
      <c r="F102" s="19"/>
      <c r="G102" s="19"/>
      <c r="H102" s="19"/>
      <c r="I102" s="33"/>
      <c r="J102" s="19"/>
    </row>
    <row r="103" spans="1:10" ht="18" customHeight="1">
      <c r="A103" s="11"/>
      <c r="B103" s="11"/>
      <c r="C103" s="11"/>
      <c r="D103" s="11"/>
      <c r="E103" s="11"/>
      <c r="F103" s="11"/>
      <c r="G103" s="11"/>
      <c r="H103" s="11"/>
      <c r="I103" s="34"/>
      <c r="J103" s="11"/>
    </row>
    <row r="104" spans="1:10" ht="18" customHeight="1">
      <c r="A104" s="19"/>
      <c r="B104" s="19"/>
      <c r="C104" s="19"/>
      <c r="D104" s="19"/>
      <c r="E104" s="19"/>
      <c r="F104" s="19"/>
      <c r="G104" s="19"/>
      <c r="H104" s="19"/>
      <c r="I104" s="33"/>
      <c r="J104" s="19"/>
    </row>
    <row r="105" spans="1:10" ht="18" customHeight="1">
      <c r="A105" s="11"/>
      <c r="B105" s="11"/>
      <c r="C105" s="11"/>
      <c r="D105" s="11"/>
      <c r="E105" s="11"/>
      <c r="F105" s="11"/>
      <c r="G105" s="11"/>
      <c r="H105" s="11"/>
      <c r="I105" s="34"/>
      <c r="J105" s="11"/>
    </row>
    <row r="106" spans="1:10" ht="18" customHeight="1">
      <c r="A106" s="19"/>
      <c r="B106" s="19"/>
      <c r="C106" s="19"/>
      <c r="D106" s="19"/>
      <c r="E106" s="19"/>
      <c r="F106" s="19"/>
      <c r="G106" s="19"/>
      <c r="H106" s="19"/>
      <c r="I106" s="33"/>
      <c r="J106" s="19"/>
    </row>
    <row r="107" spans="1:10" ht="18" customHeight="1">
      <c r="A107" s="11"/>
      <c r="B107" s="11"/>
      <c r="C107" s="11"/>
      <c r="D107" s="11"/>
      <c r="E107" s="11"/>
      <c r="F107" s="11"/>
      <c r="G107" s="11"/>
      <c r="H107" s="11"/>
      <c r="I107" s="34"/>
      <c r="J107" s="11"/>
    </row>
    <row r="108" spans="1:10" ht="18" customHeight="1">
      <c r="A108" s="19"/>
      <c r="B108" s="19"/>
      <c r="C108" s="19"/>
      <c r="D108" s="19"/>
      <c r="E108" s="19"/>
      <c r="F108" s="19"/>
      <c r="G108" s="19"/>
      <c r="H108" s="19"/>
      <c r="I108" s="33"/>
      <c r="J108" s="19"/>
    </row>
    <row r="109" spans="1:10" ht="18" customHeight="1">
      <c r="A109" s="11"/>
      <c r="B109" s="11"/>
      <c r="C109" s="11"/>
      <c r="D109" s="11"/>
      <c r="E109" s="11"/>
      <c r="F109" s="11"/>
      <c r="G109" s="11"/>
      <c r="H109" s="11"/>
      <c r="I109" s="34"/>
      <c r="J109" s="11"/>
    </row>
    <row r="110" spans="1:10" ht="18" customHeight="1">
      <c r="A110" s="19"/>
      <c r="B110" s="19"/>
      <c r="C110" s="19"/>
      <c r="D110" s="19"/>
      <c r="E110" s="19"/>
      <c r="F110" s="19"/>
      <c r="G110" s="19"/>
      <c r="H110" s="19"/>
      <c r="I110" s="33"/>
      <c r="J110" s="19"/>
    </row>
    <row r="111" spans="1:10" ht="18" customHeight="1">
      <c r="A111" s="11"/>
      <c r="B111" s="11"/>
      <c r="C111" s="11"/>
      <c r="D111" s="11"/>
      <c r="E111" s="11"/>
      <c r="F111" s="11"/>
      <c r="G111" s="11"/>
      <c r="H111" s="11"/>
      <c r="I111" s="34"/>
      <c r="J111" s="11"/>
    </row>
    <row r="112" spans="1:10" ht="18" customHeight="1">
      <c r="A112" s="19"/>
      <c r="B112" s="19"/>
      <c r="C112" s="19"/>
      <c r="D112" s="19"/>
      <c r="E112" s="19"/>
      <c r="F112" s="19"/>
      <c r="G112" s="19"/>
      <c r="H112" s="19"/>
      <c r="I112" s="33"/>
      <c r="J112" s="19"/>
    </row>
    <row r="113" spans="1:10" ht="18" customHeight="1">
      <c r="A113" s="11"/>
      <c r="B113" s="11"/>
      <c r="C113" s="11"/>
      <c r="D113" s="11"/>
      <c r="E113" s="11"/>
      <c r="F113" s="11"/>
      <c r="G113" s="11"/>
      <c r="H113" s="11"/>
      <c r="I113" s="34"/>
      <c r="J113" s="11"/>
    </row>
    <row r="114" spans="1:10" ht="18" customHeight="1">
      <c r="A114" s="19"/>
      <c r="B114" s="19"/>
      <c r="C114" s="19"/>
      <c r="D114" s="19"/>
      <c r="E114" s="19"/>
      <c r="F114" s="19"/>
      <c r="G114" s="19"/>
      <c r="H114" s="19"/>
      <c r="I114" s="33"/>
      <c r="J114" s="19"/>
    </row>
    <row r="115" spans="1:10" ht="18" customHeight="1">
      <c r="A115" s="11"/>
      <c r="B115" s="11"/>
      <c r="C115" s="11"/>
      <c r="D115" s="11"/>
      <c r="E115" s="11"/>
      <c r="F115" s="11"/>
      <c r="G115" s="11"/>
      <c r="H115" s="11"/>
      <c r="I115" s="34"/>
      <c r="J115" s="11"/>
    </row>
    <row r="116" spans="1:10" ht="18" customHeight="1">
      <c r="A116" s="19"/>
      <c r="B116" s="19"/>
      <c r="C116" s="19"/>
      <c r="D116" s="19"/>
      <c r="E116" s="19"/>
      <c r="F116" s="19"/>
      <c r="G116" s="19"/>
      <c r="H116" s="19"/>
      <c r="I116" s="33"/>
      <c r="J116" s="19"/>
    </row>
    <row r="117" spans="1:10" ht="18" customHeight="1">
      <c r="A117" s="11"/>
      <c r="B117" s="11"/>
      <c r="C117" s="11"/>
      <c r="D117" s="11"/>
      <c r="E117" s="11"/>
      <c r="F117" s="11"/>
      <c r="G117" s="11"/>
      <c r="H117" s="11"/>
      <c r="I117" s="34"/>
      <c r="J117" s="11"/>
    </row>
    <row r="118" spans="1:10" ht="18" customHeight="1">
      <c r="A118" s="19"/>
      <c r="B118" s="19"/>
      <c r="C118" s="19"/>
      <c r="D118" s="19"/>
      <c r="E118" s="19"/>
      <c r="F118" s="19"/>
      <c r="G118" s="19"/>
      <c r="H118" s="19"/>
      <c r="I118" s="33"/>
      <c r="J118" s="19"/>
    </row>
    <row r="119" spans="1:10" ht="18" customHeight="1">
      <c r="A119" s="11"/>
      <c r="B119" s="11"/>
      <c r="C119" s="11"/>
      <c r="D119" s="11"/>
      <c r="E119" s="11"/>
      <c r="F119" s="11"/>
      <c r="G119" s="11"/>
      <c r="H119" s="11"/>
      <c r="I119" s="34"/>
      <c r="J119" s="11"/>
    </row>
    <row r="120" spans="1:10" ht="18" customHeight="1">
      <c r="A120" s="19"/>
      <c r="B120" s="19"/>
      <c r="C120" s="19"/>
      <c r="D120" s="19"/>
      <c r="E120" s="19"/>
      <c r="F120" s="19"/>
      <c r="G120" s="19"/>
      <c r="H120" s="19"/>
      <c r="I120" s="33"/>
      <c r="J120" s="19"/>
    </row>
    <row r="121" spans="1:10" ht="18" customHeight="1">
      <c r="A121" s="11"/>
      <c r="B121" s="11"/>
      <c r="C121" s="11"/>
      <c r="D121" s="11"/>
      <c r="E121" s="11"/>
      <c r="F121" s="11"/>
      <c r="G121" s="11"/>
      <c r="H121" s="11"/>
      <c r="I121" s="34"/>
      <c r="J121" s="11"/>
    </row>
    <row r="122" spans="1:10" ht="18" customHeight="1">
      <c r="A122" s="19"/>
      <c r="B122" s="19"/>
      <c r="C122" s="19"/>
      <c r="D122" s="19"/>
      <c r="E122" s="19"/>
      <c r="F122" s="19"/>
      <c r="G122" s="19"/>
      <c r="H122" s="19"/>
      <c r="I122" s="33"/>
      <c r="J122" s="19"/>
    </row>
    <row r="123" spans="1:10" ht="18" customHeight="1">
      <c r="A123" s="11"/>
      <c r="B123" s="11"/>
      <c r="C123" s="11"/>
      <c r="D123" s="11"/>
      <c r="E123" s="11"/>
      <c r="F123" s="11"/>
      <c r="G123" s="11"/>
      <c r="H123" s="11"/>
      <c r="I123" s="34"/>
      <c r="J123" s="11"/>
    </row>
    <row r="124" spans="1:10" ht="18" customHeight="1">
      <c r="A124" s="19"/>
      <c r="B124" s="19"/>
      <c r="C124" s="19"/>
      <c r="D124" s="19"/>
      <c r="E124" s="19"/>
      <c r="F124" s="19"/>
      <c r="G124" s="19"/>
      <c r="H124" s="19"/>
      <c r="I124" s="33"/>
      <c r="J124" s="19"/>
    </row>
    <row r="125" spans="1:10" ht="18" customHeight="1">
      <c r="A125" s="11"/>
      <c r="B125" s="11"/>
      <c r="C125" s="11"/>
      <c r="D125" s="11"/>
      <c r="E125" s="11"/>
      <c r="F125" s="11"/>
      <c r="G125" s="11"/>
      <c r="H125" s="11"/>
      <c r="I125" s="34"/>
      <c r="J125" s="11"/>
    </row>
    <row r="126" spans="1:10" ht="18" customHeight="1">
      <c r="A126" s="19"/>
      <c r="B126" s="19"/>
      <c r="C126" s="19"/>
      <c r="D126" s="19"/>
      <c r="E126" s="19"/>
      <c r="F126" s="19"/>
      <c r="G126" s="19"/>
      <c r="H126" s="19"/>
      <c r="I126" s="33"/>
      <c r="J126" s="19"/>
    </row>
    <row r="127" spans="1:10" ht="18" customHeight="1">
      <c r="A127" s="11"/>
      <c r="B127" s="11"/>
      <c r="C127" s="11"/>
      <c r="D127" s="11"/>
      <c r="E127" s="11"/>
      <c r="F127" s="11"/>
      <c r="G127" s="11"/>
      <c r="H127" s="11"/>
      <c r="I127" s="34"/>
      <c r="J127" s="11"/>
    </row>
    <row r="128" spans="1:10" ht="18" customHeight="1">
      <c r="A128" s="19"/>
      <c r="B128" s="19"/>
      <c r="C128" s="19"/>
      <c r="D128" s="19"/>
      <c r="E128" s="19"/>
      <c r="F128" s="19"/>
      <c r="G128" s="19"/>
      <c r="H128" s="19"/>
      <c r="I128" s="33"/>
      <c r="J128" s="19"/>
    </row>
    <row r="129" spans="1:10" ht="18" customHeight="1">
      <c r="A129" s="11"/>
      <c r="B129" s="11"/>
      <c r="C129" s="11"/>
      <c r="D129" s="11"/>
      <c r="E129" s="11"/>
      <c r="F129" s="11"/>
      <c r="G129" s="11"/>
      <c r="H129" s="11"/>
      <c r="I129" s="34"/>
      <c r="J129" s="11"/>
    </row>
    <row r="130" spans="1:10" ht="18" customHeight="1">
      <c r="A130" s="19"/>
      <c r="B130" s="19"/>
      <c r="C130" s="19"/>
      <c r="D130" s="19"/>
      <c r="E130" s="19"/>
      <c r="F130" s="19"/>
      <c r="G130" s="19"/>
      <c r="H130" s="19"/>
      <c r="I130" s="33"/>
      <c r="J130" s="19"/>
    </row>
    <row r="131" spans="1:10" ht="18" customHeight="1">
      <c r="A131" s="11"/>
      <c r="B131" s="11"/>
      <c r="C131" s="11"/>
      <c r="D131" s="11"/>
      <c r="E131" s="11"/>
      <c r="F131" s="11"/>
      <c r="G131" s="11"/>
      <c r="H131" s="11"/>
      <c r="I131" s="34"/>
      <c r="J131" s="11"/>
    </row>
    <row r="132" spans="1:10" ht="18" customHeight="1">
      <c r="A132" s="19"/>
      <c r="B132" s="19"/>
      <c r="C132" s="19"/>
      <c r="D132" s="19"/>
      <c r="E132" s="19"/>
      <c r="F132" s="19"/>
      <c r="G132" s="19"/>
      <c r="H132" s="19"/>
      <c r="I132" s="33"/>
      <c r="J132" s="19"/>
    </row>
    <row r="133" spans="1:10" ht="18" customHeight="1">
      <c r="A133" s="11"/>
      <c r="B133" s="11"/>
      <c r="C133" s="11"/>
      <c r="D133" s="11"/>
      <c r="E133" s="11"/>
      <c r="F133" s="11"/>
      <c r="G133" s="11"/>
      <c r="H133" s="11"/>
      <c r="I133" s="34"/>
      <c r="J133" s="11"/>
    </row>
    <row r="134" spans="1:10" ht="18" customHeight="1">
      <c r="A134" s="19"/>
      <c r="B134" s="19"/>
      <c r="C134" s="19"/>
      <c r="D134" s="19"/>
      <c r="E134" s="19"/>
      <c r="F134" s="19"/>
      <c r="G134" s="19"/>
      <c r="H134" s="19"/>
      <c r="I134" s="33"/>
      <c r="J134" s="19"/>
    </row>
    <row r="135" spans="1:10" ht="18" customHeight="1">
      <c r="A135" s="11"/>
      <c r="B135" s="11"/>
      <c r="C135" s="11"/>
      <c r="D135" s="11"/>
      <c r="E135" s="11"/>
      <c r="F135" s="11"/>
      <c r="G135" s="11"/>
      <c r="H135" s="11"/>
      <c r="I135" s="34"/>
      <c r="J135" s="11"/>
    </row>
    <row r="136" spans="1:10" ht="18" customHeight="1">
      <c r="A136" s="19"/>
      <c r="B136" s="19"/>
      <c r="C136" s="19"/>
      <c r="D136" s="19"/>
      <c r="E136" s="19"/>
      <c r="F136" s="19"/>
      <c r="G136" s="19"/>
      <c r="H136" s="19"/>
      <c r="I136" s="33"/>
      <c r="J136" s="19"/>
    </row>
    <row r="137" spans="1:10" ht="18" customHeight="1">
      <c r="A137" s="11"/>
      <c r="B137" s="11"/>
      <c r="C137" s="11"/>
      <c r="D137" s="11"/>
      <c r="E137" s="11"/>
      <c r="F137" s="11"/>
      <c r="G137" s="11"/>
      <c r="H137" s="11"/>
      <c r="I137" s="34"/>
      <c r="J137" s="11"/>
    </row>
    <row r="138" spans="1:10" ht="18" customHeight="1">
      <c r="A138" s="19"/>
      <c r="B138" s="19"/>
      <c r="C138" s="19"/>
      <c r="D138" s="19"/>
      <c r="E138" s="19"/>
      <c r="F138" s="19"/>
      <c r="G138" s="19"/>
      <c r="H138" s="19"/>
      <c r="I138" s="33"/>
      <c r="J138" s="19"/>
    </row>
    <row r="139" spans="1:10" ht="18" customHeight="1">
      <c r="A139" s="11"/>
      <c r="B139" s="11"/>
      <c r="C139" s="11"/>
      <c r="D139" s="11"/>
      <c r="E139" s="11"/>
      <c r="F139" s="11"/>
      <c r="G139" s="11"/>
      <c r="H139" s="11"/>
      <c r="I139" s="34"/>
      <c r="J139" s="11"/>
    </row>
    <row r="140" spans="1:10" ht="18" customHeight="1">
      <c r="A140" s="19"/>
      <c r="B140" s="19"/>
      <c r="C140" s="19"/>
      <c r="D140" s="19"/>
      <c r="E140" s="19"/>
      <c r="F140" s="19"/>
      <c r="G140" s="19"/>
      <c r="H140" s="19"/>
      <c r="I140" s="33"/>
      <c r="J140" s="19"/>
    </row>
    <row r="141" spans="1:10" ht="18" customHeight="1">
      <c r="A141" s="11"/>
      <c r="B141" s="11"/>
      <c r="C141" s="11"/>
      <c r="D141" s="11"/>
      <c r="E141" s="11"/>
      <c r="F141" s="11"/>
      <c r="G141" s="11"/>
      <c r="H141" s="11"/>
      <c r="I141" s="34"/>
      <c r="J141" s="11"/>
    </row>
    <row r="142" spans="1:10" ht="18" customHeight="1">
      <c r="A142" s="19"/>
      <c r="B142" s="19"/>
      <c r="C142" s="19"/>
      <c r="D142" s="19"/>
      <c r="E142" s="19"/>
      <c r="F142" s="19"/>
      <c r="G142" s="19"/>
      <c r="H142" s="19"/>
      <c r="I142" s="33"/>
      <c r="J142" s="19"/>
    </row>
    <row r="143" spans="1:10" ht="18" customHeight="1">
      <c r="A143" s="11"/>
      <c r="B143" s="11"/>
      <c r="C143" s="11"/>
      <c r="D143" s="11"/>
      <c r="E143" s="11"/>
      <c r="F143" s="11"/>
      <c r="G143" s="11"/>
      <c r="H143" s="11"/>
      <c r="I143" s="34"/>
      <c r="J143" s="11"/>
    </row>
    <row r="144" spans="1:10" ht="18" customHeight="1">
      <c r="A144" s="19"/>
      <c r="B144" s="19"/>
      <c r="C144" s="19"/>
      <c r="D144" s="19"/>
      <c r="E144" s="19"/>
      <c r="F144" s="19"/>
      <c r="G144" s="19"/>
      <c r="H144" s="19"/>
      <c r="I144" s="33"/>
      <c r="J144" s="19"/>
    </row>
    <row r="145" spans="1:10" ht="18" customHeight="1">
      <c r="A145" s="11"/>
      <c r="B145" s="11"/>
      <c r="C145" s="11"/>
      <c r="D145" s="11"/>
      <c r="E145" s="11"/>
      <c r="F145" s="11"/>
      <c r="G145" s="11"/>
      <c r="H145" s="11"/>
      <c r="I145" s="34"/>
      <c r="J145" s="11"/>
    </row>
    <row r="146" spans="1:10" ht="18" customHeight="1">
      <c r="A146" s="19"/>
      <c r="B146" s="19"/>
      <c r="C146" s="19"/>
      <c r="D146" s="19"/>
      <c r="E146" s="19"/>
      <c r="F146" s="19"/>
      <c r="G146" s="19"/>
      <c r="H146" s="19"/>
      <c r="I146" s="33"/>
      <c r="J146" s="19"/>
    </row>
    <row r="147" spans="1:10" ht="18" customHeight="1">
      <c r="A147" s="11"/>
      <c r="B147" s="11"/>
      <c r="C147" s="11"/>
      <c r="D147" s="11"/>
      <c r="E147" s="11"/>
      <c r="F147" s="11"/>
      <c r="G147" s="11"/>
      <c r="H147" s="11"/>
      <c r="I147" s="34"/>
      <c r="J147" s="11"/>
    </row>
    <row r="148" spans="1:10" ht="18" customHeight="1">
      <c r="A148" s="19"/>
      <c r="B148" s="19"/>
      <c r="C148" s="19"/>
      <c r="D148" s="19"/>
      <c r="E148" s="19"/>
      <c r="F148" s="19"/>
      <c r="G148" s="19"/>
      <c r="H148" s="19"/>
      <c r="I148" s="33"/>
      <c r="J148" s="19"/>
    </row>
    <row r="149" spans="1:10" ht="18" customHeight="1">
      <c r="A149" s="11"/>
      <c r="B149" s="11"/>
      <c r="C149" s="11"/>
      <c r="D149" s="11"/>
      <c r="E149" s="11"/>
      <c r="F149" s="11"/>
      <c r="G149" s="11"/>
      <c r="H149" s="11"/>
      <c r="I149" s="34"/>
      <c r="J149" s="11"/>
    </row>
    <row r="150" spans="1:10" ht="18" customHeight="1">
      <c r="A150" s="19"/>
      <c r="B150" s="19"/>
      <c r="C150" s="19"/>
      <c r="D150" s="19"/>
      <c r="E150" s="19"/>
      <c r="F150" s="19"/>
      <c r="G150" s="19"/>
      <c r="H150" s="19"/>
      <c r="I150" s="33"/>
      <c r="J150" s="19"/>
    </row>
    <row r="151" spans="1:10" ht="18" customHeight="1">
      <c r="A151" s="11"/>
      <c r="B151" s="11"/>
      <c r="C151" s="11"/>
      <c r="D151" s="11"/>
      <c r="E151" s="11"/>
      <c r="F151" s="11"/>
      <c r="G151" s="11"/>
      <c r="H151" s="11"/>
      <c r="I151" s="34"/>
      <c r="J151" s="11"/>
    </row>
    <row r="152" spans="1:10" ht="18" customHeight="1">
      <c r="A152" s="19"/>
      <c r="B152" s="19"/>
      <c r="C152" s="19"/>
      <c r="D152" s="19"/>
      <c r="E152" s="19"/>
      <c r="F152" s="19"/>
      <c r="G152" s="19"/>
      <c r="H152" s="19"/>
      <c r="I152" s="33"/>
      <c r="J152" s="19"/>
    </row>
    <row r="153" spans="1:10" ht="18" customHeight="1">
      <c r="A153" s="11"/>
      <c r="B153" s="11"/>
      <c r="C153" s="11"/>
      <c r="D153" s="11"/>
      <c r="E153" s="11"/>
      <c r="F153" s="11"/>
      <c r="G153" s="11"/>
      <c r="H153" s="11"/>
      <c r="I153" s="34"/>
      <c r="J153" s="11"/>
    </row>
    <row r="154" spans="1:10" ht="18" customHeight="1">
      <c r="A154" s="19"/>
      <c r="B154" s="19"/>
      <c r="C154" s="19"/>
      <c r="D154" s="19"/>
      <c r="E154" s="19"/>
      <c r="F154" s="19"/>
      <c r="G154" s="19"/>
      <c r="H154" s="19"/>
      <c r="I154" s="33"/>
      <c r="J154" s="19"/>
    </row>
    <row r="155" spans="1:10" ht="18" customHeight="1">
      <c r="A155" s="11"/>
      <c r="B155" s="11"/>
      <c r="C155" s="11"/>
      <c r="D155" s="11"/>
      <c r="E155" s="11"/>
      <c r="F155" s="11"/>
      <c r="G155" s="11"/>
      <c r="H155" s="11"/>
      <c r="I155" s="34"/>
      <c r="J155" s="11"/>
    </row>
    <row r="156" spans="1:10" ht="18" customHeight="1">
      <c r="A156" s="19"/>
      <c r="B156" s="19"/>
      <c r="C156" s="19"/>
      <c r="D156" s="19"/>
      <c r="E156" s="19"/>
      <c r="F156" s="19"/>
      <c r="G156" s="19"/>
      <c r="H156" s="19"/>
      <c r="I156" s="33"/>
      <c r="J156" s="19"/>
    </row>
    <row r="157" spans="1:10" ht="18" customHeight="1">
      <c r="A157" s="11"/>
      <c r="B157" s="11"/>
      <c r="C157" s="11"/>
      <c r="D157" s="11"/>
      <c r="E157" s="11"/>
      <c r="F157" s="11"/>
      <c r="G157" s="11"/>
      <c r="H157" s="11"/>
      <c r="I157" s="34"/>
      <c r="J157" s="11"/>
    </row>
    <row r="158" spans="1:10" ht="18" customHeight="1">
      <c r="A158" s="19"/>
      <c r="B158" s="19"/>
      <c r="C158" s="19"/>
      <c r="D158" s="19"/>
      <c r="E158" s="19"/>
      <c r="F158" s="19"/>
      <c r="G158" s="19"/>
      <c r="H158" s="19"/>
      <c r="I158" s="33"/>
      <c r="J158" s="19"/>
    </row>
    <row r="159" spans="1:10" ht="18" customHeight="1">
      <c r="A159" s="11"/>
      <c r="B159" s="11"/>
      <c r="C159" s="11"/>
      <c r="D159" s="11"/>
      <c r="E159" s="11"/>
      <c r="F159" s="11"/>
      <c r="G159" s="11"/>
      <c r="H159" s="11"/>
      <c r="I159" s="34"/>
      <c r="J159" s="11"/>
    </row>
    <row r="160" spans="1:10" ht="18" customHeight="1">
      <c r="A160" s="19"/>
      <c r="B160" s="19"/>
      <c r="C160" s="19"/>
      <c r="D160" s="19"/>
      <c r="E160" s="19"/>
      <c r="F160" s="19"/>
      <c r="G160" s="19"/>
      <c r="H160" s="19"/>
      <c r="I160" s="33"/>
      <c r="J160" s="19"/>
    </row>
    <row r="161" spans="1:10" ht="18" customHeight="1">
      <c r="A161" s="11"/>
      <c r="B161" s="11"/>
      <c r="C161" s="11"/>
      <c r="D161" s="11"/>
      <c r="E161" s="11"/>
      <c r="F161" s="11"/>
      <c r="G161" s="11"/>
      <c r="H161" s="11"/>
      <c r="I161" s="34"/>
      <c r="J161" s="11"/>
    </row>
    <row r="162" spans="1:10" ht="18" customHeight="1">
      <c r="A162" s="19"/>
      <c r="B162" s="19"/>
      <c r="C162" s="19"/>
      <c r="D162" s="19"/>
      <c r="E162" s="19"/>
      <c r="F162" s="19"/>
      <c r="G162" s="19"/>
      <c r="H162" s="19"/>
      <c r="I162" s="33"/>
      <c r="J162" s="19"/>
    </row>
    <row r="163" spans="1:10" ht="18" customHeight="1">
      <c r="A163" s="11"/>
      <c r="B163" s="11"/>
      <c r="C163" s="11"/>
      <c r="D163" s="11"/>
      <c r="E163" s="11"/>
      <c r="F163" s="11"/>
      <c r="G163" s="11"/>
      <c r="H163" s="11"/>
      <c r="I163" s="34"/>
      <c r="J163" s="11"/>
    </row>
    <row r="164" spans="1:10" ht="18" customHeight="1">
      <c r="A164" s="19"/>
      <c r="B164" s="19"/>
      <c r="C164" s="19"/>
      <c r="D164" s="19"/>
      <c r="E164" s="19"/>
      <c r="F164" s="19"/>
      <c r="G164" s="19"/>
      <c r="H164" s="19"/>
      <c r="I164" s="33"/>
      <c r="J164" s="19"/>
    </row>
    <row r="165" spans="1:10" ht="18" customHeight="1">
      <c r="A165" s="11"/>
      <c r="B165" s="11"/>
      <c r="C165" s="11"/>
      <c r="D165" s="11"/>
      <c r="E165" s="11"/>
      <c r="F165" s="11"/>
      <c r="G165" s="11"/>
      <c r="H165" s="11"/>
      <c r="I165" s="34"/>
      <c r="J165" s="11"/>
    </row>
    <row r="166" spans="1:10" ht="18" customHeight="1">
      <c r="A166" s="19"/>
      <c r="B166" s="19"/>
      <c r="C166" s="19"/>
      <c r="D166" s="19"/>
      <c r="E166" s="19"/>
      <c r="F166" s="19"/>
      <c r="G166" s="19"/>
      <c r="H166" s="19"/>
      <c r="I166" s="33"/>
      <c r="J166" s="19"/>
    </row>
    <row r="167" spans="1:10" ht="18" customHeight="1">
      <c r="A167" s="11"/>
      <c r="B167" s="11"/>
      <c r="C167" s="11"/>
      <c r="D167" s="11"/>
      <c r="E167" s="11"/>
      <c r="F167" s="11"/>
      <c r="G167" s="11"/>
      <c r="H167" s="11"/>
      <c r="I167" s="34"/>
      <c r="J167" s="11"/>
    </row>
    <row r="168" spans="1:10" ht="18" customHeight="1">
      <c r="A168" s="19"/>
      <c r="B168" s="19"/>
      <c r="C168" s="19"/>
      <c r="D168" s="19"/>
      <c r="E168" s="19"/>
      <c r="F168" s="19"/>
      <c r="G168" s="19"/>
      <c r="H168" s="19"/>
      <c r="I168" s="33"/>
      <c r="J168" s="19"/>
    </row>
    <row r="169" spans="1:10" ht="18" customHeight="1">
      <c r="A169" s="11"/>
      <c r="B169" s="11"/>
      <c r="C169" s="11"/>
      <c r="D169" s="11"/>
      <c r="E169" s="11"/>
      <c r="F169" s="11"/>
      <c r="G169" s="11"/>
      <c r="H169" s="11"/>
      <c r="I169" s="34"/>
      <c r="J169" s="11"/>
    </row>
    <row r="170" spans="1:10" ht="18" customHeight="1">
      <c r="A170" s="19"/>
      <c r="B170" s="19"/>
      <c r="C170" s="19"/>
      <c r="D170" s="19"/>
      <c r="E170" s="19"/>
      <c r="F170" s="19"/>
      <c r="G170" s="19"/>
      <c r="H170" s="19"/>
      <c r="I170" s="33"/>
      <c r="J170" s="19"/>
    </row>
    <row r="171" spans="1:10" ht="18" customHeight="1">
      <c r="A171" s="11"/>
      <c r="B171" s="11"/>
      <c r="C171" s="11"/>
      <c r="D171" s="11"/>
      <c r="E171" s="11"/>
      <c r="F171" s="11"/>
      <c r="G171" s="11"/>
      <c r="H171" s="11"/>
      <c r="I171" s="34"/>
      <c r="J171" s="11"/>
    </row>
    <row r="172" spans="1:10" ht="18" customHeight="1">
      <c r="A172" s="19"/>
      <c r="B172" s="19"/>
      <c r="C172" s="19"/>
      <c r="D172" s="19"/>
      <c r="E172" s="19"/>
      <c r="F172" s="19"/>
      <c r="G172" s="19"/>
      <c r="H172" s="19"/>
      <c r="I172" s="33"/>
      <c r="J172" s="19"/>
    </row>
    <row r="173" spans="1:10" ht="18" customHeight="1">
      <c r="A173" s="11"/>
      <c r="B173" s="11"/>
      <c r="C173" s="11"/>
      <c r="D173" s="11"/>
      <c r="E173" s="11"/>
      <c r="F173" s="11"/>
      <c r="G173" s="11"/>
      <c r="H173" s="11"/>
      <c r="I173" s="34"/>
      <c r="J173" s="11"/>
    </row>
    <row r="174" spans="1:10" ht="18" customHeight="1">
      <c r="A174" s="19"/>
      <c r="B174" s="19"/>
      <c r="C174" s="19"/>
      <c r="D174" s="19"/>
      <c r="E174" s="19"/>
      <c r="F174" s="19"/>
      <c r="G174" s="19"/>
      <c r="H174" s="19"/>
      <c r="I174" s="33"/>
      <c r="J174" s="19"/>
    </row>
    <row r="175" spans="1:10" ht="18" customHeight="1">
      <c r="A175" s="11"/>
      <c r="B175" s="11"/>
      <c r="C175" s="11"/>
      <c r="D175" s="11"/>
      <c r="E175" s="11"/>
      <c r="F175" s="11"/>
      <c r="G175" s="11"/>
      <c r="H175" s="11"/>
      <c r="I175" s="34"/>
      <c r="J175" s="11"/>
    </row>
    <row r="176" spans="1:10" ht="18" customHeight="1">
      <c r="A176" s="19"/>
      <c r="B176" s="19"/>
      <c r="C176" s="19"/>
      <c r="D176" s="19"/>
      <c r="E176" s="19"/>
      <c r="F176" s="19"/>
      <c r="G176" s="19"/>
      <c r="H176" s="19"/>
      <c r="I176" s="33"/>
      <c r="J176" s="19"/>
    </row>
    <row r="177" spans="1:10" ht="18" customHeight="1">
      <c r="A177" s="11"/>
      <c r="B177" s="11"/>
      <c r="C177" s="11"/>
      <c r="D177" s="11"/>
      <c r="E177" s="11"/>
      <c r="F177" s="11"/>
      <c r="G177" s="11"/>
      <c r="H177" s="11"/>
      <c r="I177" s="34"/>
      <c r="J177" s="11"/>
    </row>
    <row r="178" spans="1:10" ht="18" customHeight="1">
      <c r="A178" s="19"/>
      <c r="B178" s="19"/>
      <c r="C178" s="19"/>
      <c r="D178" s="19"/>
      <c r="E178" s="19"/>
      <c r="F178" s="19"/>
      <c r="G178" s="19"/>
      <c r="H178" s="19"/>
      <c r="I178" s="33"/>
      <c r="J178" s="19"/>
    </row>
    <row r="179" spans="1:10" ht="18" customHeight="1">
      <c r="A179" s="11"/>
      <c r="B179" s="11"/>
      <c r="C179" s="11"/>
      <c r="D179" s="11"/>
      <c r="E179" s="11"/>
      <c r="F179" s="11"/>
      <c r="G179" s="11"/>
      <c r="H179" s="11"/>
      <c r="I179" s="34"/>
      <c r="J179" s="11"/>
    </row>
    <row r="180" spans="1:10" ht="18" customHeight="1">
      <c r="A180" s="19"/>
      <c r="B180" s="19"/>
      <c r="C180" s="19"/>
      <c r="D180" s="19"/>
      <c r="E180" s="19"/>
      <c r="F180" s="19"/>
      <c r="G180" s="19"/>
      <c r="H180" s="19"/>
      <c r="I180" s="33"/>
      <c r="J180" s="19"/>
    </row>
    <row r="181" spans="1:10" ht="18" customHeight="1">
      <c r="A181" s="11"/>
      <c r="B181" s="11"/>
      <c r="C181" s="11"/>
      <c r="D181" s="11"/>
      <c r="E181" s="11"/>
      <c r="F181" s="11"/>
      <c r="G181" s="11"/>
      <c r="H181" s="11"/>
      <c r="I181" s="34"/>
      <c r="J181" s="11"/>
    </row>
    <row r="182" spans="1:10" ht="18" customHeight="1">
      <c r="A182" s="19"/>
      <c r="B182" s="19"/>
      <c r="C182" s="19"/>
      <c r="D182" s="19"/>
      <c r="E182" s="19"/>
      <c r="F182" s="19"/>
      <c r="G182" s="19"/>
      <c r="H182" s="19"/>
      <c r="I182" s="33"/>
      <c r="J182" s="19"/>
    </row>
    <row r="183" spans="1:10" ht="18" customHeight="1">
      <c r="A183" s="11"/>
      <c r="B183" s="11"/>
      <c r="C183" s="11"/>
      <c r="D183" s="11"/>
      <c r="E183" s="11"/>
      <c r="F183" s="11"/>
      <c r="G183" s="11"/>
      <c r="H183" s="11"/>
      <c r="I183" s="34"/>
      <c r="J183" s="11"/>
    </row>
    <row r="184" spans="1:10" ht="18" customHeight="1">
      <c r="A184" s="19"/>
      <c r="B184" s="19"/>
      <c r="C184" s="19"/>
      <c r="D184" s="19"/>
      <c r="E184" s="19"/>
      <c r="F184" s="19"/>
      <c r="G184" s="19"/>
      <c r="H184" s="19"/>
      <c r="I184" s="33"/>
      <c r="J184" s="19"/>
    </row>
    <row r="185" spans="1:10" ht="18" customHeight="1">
      <c r="A185" s="11"/>
      <c r="B185" s="11"/>
      <c r="C185" s="11"/>
      <c r="D185" s="11"/>
      <c r="E185" s="11"/>
      <c r="F185" s="11"/>
      <c r="G185" s="11"/>
      <c r="H185" s="11"/>
      <c r="I185" s="34"/>
      <c r="J185" s="11"/>
    </row>
    <row r="186" spans="1:10" ht="18" customHeight="1">
      <c r="A186" s="19"/>
      <c r="B186" s="19"/>
      <c r="C186" s="19"/>
      <c r="D186" s="19"/>
      <c r="E186" s="19"/>
      <c r="F186" s="19"/>
      <c r="G186" s="19"/>
      <c r="H186" s="19"/>
      <c r="I186" s="33"/>
      <c r="J186" s="19"/>
    </row>
    <row r="187" spans="1:10" ht="18" customHeight="1">
      <c r="A187" s="11"/>
      <c r="B187" s="11"/>
      <c r="C187" s="11"/>
      <c r="D187" s="11"/>
      <c r="E187" s="11"/>
      <c r="F187" s="11"/>
      <c r="G187" s="11"/>
      <c r="H187" s="11"/>
      <c r="I187" s="34"/>
      <c r="J187" s="11"/>
    </row>
    <row r="188" spans="1:10" ht="18" customHeight="1">
      <c r="A188" s="19"/>
      <c r="B188" s="19"/>
      <c r="C188" s="19"/>
      <c r="D188" s="19"/>
      <c r="E188" s="19"/>
      <c r="F188" s="19"/>
      <c r="G188" s="19"/>
      <c r="H188" s="19"/>
      <c r="I188" s="33"/>
      <c r="J188" s="19"/>
    </row>
    <row r="189" spans="1:10" ht="18" customHeight="1">
      <c r="A189" s="11"/>
      <c r="B189" s="11"/>
      <c r="C189" s="11"/>
      <c r="D189" s="11"/>
      <c r="E189" s="11"/>
      <c r="F189" s="11"/>
      <c r="G189" s="11"/>
      <c r="H189" s="11"/>
      <c r="I189" s="34"/>
      <c r="J189" s="11"/>
    </row>
    <row r="190" spans="1:10" ht="18" customHeight="1">
      <c r="A190" s="19"/>
      <c r="B190" s="19"/>
      <c r="C190" s="19"/>
      <c r="D190" s="19"/>
      <c r="E190" s="19"/>
      <c r="F190" s="19"/>
      <c r="G190" s="19"/>
      <c r="H190" s="19"/>
      <c r="I190" s="33"/>
      <c r="J190" s="19"/>
    </row>
    <row r="191" spans="1:10" ht="18" customHeight="1">
      <c r="A191" s="11"/>
      <c r="B191" s="11"/>
      <c r="C191" s="11"/>
      <c r="D191" s="11"/>
      <c r="E191" s="11"/>
      <c r="F191" s="11"/>
      <c r="G191" s="11"/>
      <c r="H191" s="11"/>
      <c r="I191" s="34"/>
      <c r="J191" s="11"/>
    </row>
    <row r="192" spans="1:10" ht="18" customHeight="1">
      <c r="A192" s="19"/>
      <c r="B192" s="19"/>
      <c r="C192" s="19"/>
      <c r="D192" s="19"/>
      <c r="E192" s="19"/>
      <c r="F192" s="19"/>
      <c r="G192" s="19"/>
      <c r="H192" s="19"/>
      <c r="I192" s="33"/>
      <c r="J192" s="19"/>
    </row>
    <row r="193" spans="1:10" ht="18" customHeight="1">
      <c r="A193" s="11"/>
      <c r="B193" s="11"/>
      <c r="C193" s="11"/>
      <c r="D193" s="11"/>
      <c r="E193" s="11"/>
      <c r="F193" s="11"/>
      <c r="G193" s="11"/>
      <c r="H193" s="11"/>
      <c r="I193" s="34"/>
      <c r="J193" s="11"/>
    </row>
    <row r="194" spans="1:10" ht="18" customHeight="1">
      <c r="A194" s="19"/>
      <c r="B194" s="19"/>
      <c r="C194" s="19"/>
      <c r="D194" s="19"/>
      <c r="E194" s="19"/>
      <c r="F194" s="19"/>
      <c r="G194" s="19"/>
      <c r="H194" s="19"/>
      <c r="I194" s="33"/>
      <c r="J194" s="19"/>
    </row>
    <row r="195" spans="1:10" ht="18" customHeight="1">
      <c r="A195" s="11"/>
      <c r="B195" s="11"/>
      <c r="C195" s="11"/>
      <c r="D195" s="11"/>
      <c r="E195" s="11"/>
      <c r="F195" s="11"/>
      <c r="G195" s="11"/>
      <c r="H195" s="11"/>
      <c r="I195" s="34"/>
      <c r="J195" s="11"/>
    </row>
    <row r="196" spans="1:10" ht="18" customHeight="1">
      <c r="A196" s="19"/>
      <c r="B196" s="19"/>
      <c r="C196" s="19"/>
      <c r="D196" s="19"/>
      <c r="E196" s="19"/>
      <c r="F196" s="19"/>
      <c r="G196" s="19"/>
      <c r="H196" s="19"/>
      <c r="I196" s="33"/>
      <c r="J196" s="19"/>
    </row>
    <row r="197" spans="1:10" ht="18" customHeight="1">
      <c r="A197" s="11"/>
      <c r="B197" s="11"/>
      <c r="C197" s="11"/>
      <c r="D197" s="11"/>
      <c r="E197" s="11"/>
      <c r="F197" s="11"/>
      <c r="G197" s="11"/>
      <c r="H197" s="11"/>
      <c r="I197" s="34"/>
      <c r="J197" s="11"/>
    </row>
    <row r="198" spans="1:10" ht="18" customHeight="1">
      <c r="A198" s="19"/>
      <c r="B198" s="19"/>
      <c r="C198" s="19"/>
      <c r="D198" s="19"/>
      <c r="E198" s="19"/>
      <c r="F198" s="19"/>
      <c r="G198" s="19"/>
      <c r="H198" s="19"/>
      <c r="I198" s="33"/>
      <c r="J198" s="19"/>
    </row>
    <row r="199" spans="1:10" ht="18" customHeight="1">
      <c r="A199" s="11"/>
      <c r="B199" s="11"/>
      <c r="C199" s="11"/>
      <c r="D199" s="11"/>
      <c r="E199" s="11"/>
      <c r="F199" s="11"/>
      <c r="G199" s="11"/>
      <c r="H199" s="11"/>
      <c r="I199" s="34"/>
      <c r="J199" s="11"/>
    </row>
    <row r="200" spans="1:10" ht="18" customHeight="1">
      <c r="A200" s="19"/>
      <c r="B200" s="19"/>
      <c r="C200" s="19"/>
      <c r="D200" s="19"/>
      <c r="E200" s="19"/>
      <c r="F200" s="19"/>
      <c r="G200" s="19"/>
      <c r="H200" s="19"/>
      <c r="I200" s="33"/>
      <c r="J200" s="19"/>
    </row>
    <row r="201" spans="1:10" ht="18" customHeight="1">
      <c r="A201" s="11"/>
      <c r="B201" s="11"/>
      <c r="C201" s="11"/>
      <c r="D201" s="11"/>
      <c r="E201" s="11"/>
      <c r="F201" s="11"/>
      <c r="G201" s="11"/>
      <c r="H201" s="11"/>
      <c r="I201" s="34"/>
      <c r="J201" s="11"/>
    </row>
    <row r="202" spans="1:10" ht="18" customHeight="1">
      <c r="A202" s="19"/>
      <c r="B202" s="19"/>
      <c r="C202" s="19"/>
      <c r="D202" s="19"/>
      <c r="E202" s="19"/>
      <c r="F202" s="19"/>
      <c r="G202" s="19"/>
      <c r="H202" s="19"/>
      <c r="I202" s="33"/>
      <c r="J202" s="19"/>
    </row>
    <row r="203" spans="1:10" ht="18" customHeight="1">
      <c r="A203" s="11"/>
      <c r="B203" s="11"/>
      <c r="C203" s="11"/>
      <c r="D203" s="11"/>
      <c r="E203" s="11"/>
      <c r="F203" s="11"/>
      <c r="G203" s="11"/>
      <c r="H203" s="11"/>
      <c r="I203" s="34"/>
      <c r="J203" s="11"/>
    </row>
    <row r="204" spans="1:10" ht="18" customHeight="1">
      <c r="A204" s="19"/>
      <c r="B204" s="19"/>
      <c r="C204" s="19"/>
      <c r="D204" s="19"/>
      <c r="E204" s="19"/>
      <c r="F204" s="19"/>
      <c r="G204" s="19"/>
      <c r="H204" s="19"/>
      <c r="I204" s="33"/>
      <c r="J204" s="19"/>
    </row>
    <row r="205" spans="1:10" ht="18" customHeight="1">
      <c r="A205" s="11"/>
      <c r="B205" s="11"/>
      <c r="C205" s="11"/>
      <c r="D205" s="11"/>
      <c r="E205" s="11"/>
      <c r="F205" s="11"/>
      <c r="G205" s="11"/>
      <c r="H205" s="11"/>
      <c r="I205" s="34"/>
      <c r="J205" s="11"/>
    </row>
    <row r="206" spans="1:10" ht="18" customHeight="1">
      <c r="A206" s="19"/>
      <c r="B206" s="19"/>
      <c r="C206" s="19"/>
      <c r="D206" s="19"/>
      <c r="E206" s="19"/>
      <c r="F206" s="19"/>
      <c r="G206" s="19"/>
      <c r="H206" s="19"/>
      <c r="I206" s="33"/>
      <c r="J206" s="19"/>
    </row>
    <row r="207" spans="1:10" ht="18" customHeight="1">
      <c r="A207" s="11"/>
      <c r="B207" s="11"/>
      <c r="C207" s="11"/>
      <c r="D207" s="11"/>
      <c r="E207" s="11"/>
      <c r="F207" s="11"/>
      <c r="G207" s="11"/>
      <c r="H207" s="11"/>
      <c r="I207" s="34"/>
      <c r="J207" s="11"/>
    </row>
    <row r="208" spans="1:10" ht="18" customHeight="1">
      <c r="A208" s="19"/>
      <c r="B208" s="19"/>
      <c r="C208" s="19"/>
      <c r="D208" s="19"/>
      <c r="E208" s="19"/>
      <c r="F208" s="19"/>
      <c r="G208" s="19"/>
      <c r="H208" s="19"/>
      <c r="I208" s="33"/>
      <c r="J208" s="19"/>
    </row>
    <row r="209" spans="1:10" ht="18" customHeight="1">
      <c r="A209" s="11"/>
      <c r="B209" s="11"/>
      <c r="C209" s="11"/>
      <c r="D209" s="11"/>
      <c r="E209" s="11"/>
      <c r="F209" s="11"/>
      <c r="G209" s="11"/>
      <c r="H209" s="11"/>
      <c r="I209" s="34"/>
      <c r="J209" s="11"/>
    </row>
    <row r="210" spans="1:10" ht="18" customHeight="1">
      <c r="A210" s="19"/>
      <c r="B210" s="19"/>
      <c r="C210" s="19"/>
      <c r="D210" s="19"/>
      <c r="E210" s="19"/>
      <c r="F210" s="19"/>
      <c r="G210" s="19"/>
      <c r="H210" s="19"/>
      <c r="I210" s="33"/>
      <c r="J210" s="19"/>
    </row>
    <row r="211" spans="1:10" ht="18" customHeight="1">
      <c r="A211" s="11"/>
      <c r="B211" s="11"/>
      <c r="C211" s="11"/>
      <c r="D211" s="11"/>
      <c r="E211" s="11"/>
      <c r="F211" s="11"/>
      <c r="G211" s="11"/>
      <c r="H211" s="11"/>
      <c r="I211" s="34"/>
      <c r="J211" s="11"/>
    </row>
    <row r="212" spans="1:10" ht="18" customHeight="1">
      <c r="A212" s="19"/>
      <c r="B212" s="19"/>
      <c r="C212" s="19"/>
      <c r="D212" s="19"/>
      <c r="E212" s="19"/>
      <c r="F212" s="19"/>
      <c r="G212" s="19"/>
      <c r="H212" s="19"/>
      <c r="I212" s="33"/>
      <c r="J212" s="19"/>
    </row>
    <row r="213" spans="1:10" ht="18" customHeight="1">
      <c r="A213" s="11"/>
      <c r="B213" s="11"/>
      <c r="C213" s="11"/>
      <c r="D213" s="11"/>
      <c r="E213" s="11"/>
      <c r="F213" s="11"/>
      <c r="G213" s="11"/>
      <c r="H213" s="11"/>
      <c r="I213" s="34"/>
      <c r="J213" s="11"/>
    </row>
    <row r="214" spans="1:10" ht="18" customHeight="1">
      <c r="A214" s="19"/>
      <c r="B214" s="19"/>
      <c r="C214" s="19"/>
      <c r="D214" s="19"/>
      <c r="E214" s="19"/>
      <c r="F214" s="19"/>
      <c r="G214" s="19"/>
      <c r="H214" s="19"/>
      <c r="I214" s="33"/>
      <c r="J214" s="19"/>
    </row>
    <row r="215" spans="1:10" ht="18" customHeight="1">
      <c r="A215" s="11"/>
      <c r="B215" s="11"/>
      <c r="C215" s="11"/>
      <c r="D215" s="11"/>
      <c r="E215" s="11"/>
      <c r="F215" s="11"/>
      <c r="G215" s="11"/>
      <c r="H215" s="11"/>
      <c r="I215" s="34"/>
      <c r="J215" s="11"/>
    </row>
    <row r="216" spans="1:10" ht="18" customHeight="1">
      <c r="A216" s="19"/>
      <c r="B216" s="19"/>
      <c r="C216" s="19"/>
      <c r="D216" s="19"/>
      <c r="E216" s="19"/>
      <c r="F216" s="19"/>
      <c r="G216" s="19"/>
      <c r="H216" s="19"/>
      <c r="I216" s="33"/>
      <c r="J216" s="19"/>
    </row>
    <row r="217" spans="1:10" ht="18" customHeight="1">
      <c r="A217" s="11"/>
      <c r="B217" s="11"/>
      <c r="C217" s="11"/>
      <c r="D217" s="11"/>
      <c r="E217" s="11"/>
      <c r="F217" s="11"/>
      <c r="G217" s="11"/>
      <c r="H217" s="11"/>
      <c r="I217" s="34"/>
      <c r="J217" s="11"/>
    </row>
    <row r="218" spans="1:10" ht="18" customHeight="1">
      <c r="A218" s="19"/>
      <c r="B218" s="19"/>
      <c r="C218" s="19"/>
      <c r="D218" s="19"/>
      <c r="E218" s="19"/>
      <c r="F218" s="19"/>
      <c r="G218" s="19"/>
      <c r="H218" s="19"/>
      <c r="I218" s="33"/>
      <c r="J218" s="19"/>
    </row>
    <row r="219" spans="1:10" ht="18" customHeight="1">
      <c r="A219" s="11"/>
      <c r="B219" s="11"/>
      <c r="C219" s="11"/>
      <c r="D219" s="11"/>
      <c r="E219" s="11"/>
      <c r="F219" s="11"/>
      <c r="G219" s="11"/>
      <c r="H219" s="11"/>
      <c r="I219" s="34"/>
      <c r="J219" s="11"/>
    </row>
    <row r="220" spans="1:10" ht="18" customHeight="1">
      <c r="A220" s="19"/>
      <c r="B220" s="19"/>
      <c r="C220" s="19"/>
      <c r="D220" s="19"/>
      <c r="E220" s="19"/>
      <c r="F220" s="19"/>
      <c r="G220" s="19"/>
      <c r="H220" s="19"/>
      <c r="I220" s="33"/>
      <c r="J220" s="19"/>
    </row>
    <row r="221" spans="1:10" ht="18" customHeight="1">
      <c r="A221" s="11"/>
      <c r="B221" s="11"/>
      <c r="C221" s="11"/>
      <c r="D221" s="11"/>
      <c r="E221" s="11"/>
      <c r="F221" s="11"/>
      <c r="G221" s="11"/>
      <c r="H221" s="11"/>
      <c r="I221" s="34"/>
      <c r="J221" s="11"/>
    </row>
    <row r="222" spans="1:10" ht="18" customHeight="1">
      <c r="A222" s="19"/>
      <c r="B222" s="19"/>
      <c r="C222" s="19"/>
      <c r="D222" s="19"/>
      <c r="E222" s="19"/>
      <c r="F222" s="19"/>
      <c r="G222" s="19"/>
      <c r="H222" s="19"/>
      <c r="I222" s="33"/>
      <c r="J222" s="19"/>
    </row>
    <row r="223" spans="1:10" ht="18" customHeight="1">
      <c r="A223" s="11"/>
      <c r="B223" s="11"/>
      <c r="C223" s="11"/>
      <c r="D223" s="11"/>
      <c r="E223" s="11"/>
      <c r="F223" s="11"/>
      <c r="G223" s="11"/>
      <c r="H223" s="11"/>
      <c r="I223" s="34"/>
      <c r="J223" s="11"/>
    </row>
    <row r="224" spans="1:10" ht="18" customHeight="1">
      <c r="A224" s="19"/>
      <c r="B224" s="19"/>
      <c r="C224" s="19"/>
      <c r="D224" s="19"/>
      <c r="E224" s="19"/>
      <c r="F224" s="19"/>
      <c r="G224" s="19"/>
      <c r="H224" s="19"/>
      <c r="I224" s="33"/>
      <c r="J224" s="19"/>
    </row>
    <row r="225" spans="1:10" ht="18" customHeight="1">
      <c r="A225" s="11"/>
      <c r="B225" s="11"/>
      <c r="C225" s="11"/>
      <c r="D225" s="11"/>
      <c r="E225" s="11"/>
      <c r="F225" s="11"/>
      <c r="G225" s="11"/>
      <c r="H225" s="11"/>
      <c r="I225" s="34"/>
      <c r="J225" s="11"/>
    </row>
    <row r="226" spans="1:10" ht="18" customHeight="1">
      <c r="A226" s="19"/>
      <c r="B226" s="19"/>
      <c r="C226" s="19"/>
      <c r="D226" s="19"/>
      <c r="E226" s="19"/>
      <c r="F226" s="19"/>
      <c r="G226" s="19"/>
      <c r="H226" s="19"/>
      <c r="I226" s="33"/>
      <c r="J226" s="19"/>
    </row>
    <row r="227" spans="1:10" ht="18" customHeight="1">
      <c r="A227" s="11"/>
      <c r="B227" s="11"/>
      <c r="C227" s="11"/>
      <c r="D227" s="11"/>
      <c r="E227" s="11"/>
      <c r="F227" s="11"/>
      <c r="G227" s="11"/>
      <c r="H227" s="11"/>
      <c r="I227" s="34"/>
      <c r="J227" s="11"/>
    </row>
    <row r="228" spans="1:10" ht="18" customHeight="1">
      <c r="A228" s="19"/>
      <c r="B228" s="19"/>
      <c r="C228" s="19"/>
      <c r="D228" s="19"/>
      <c r="E228" s="19"/>
      <c r="F228" s="19"/>
      <c r="G228" s="19"/>
      <c r="H228" s="19"/>
      <c r="I228" s="33"/>
      <c r="J228" s="19"/>
    </row>
    <row r="229" spans="1:10" ht="18" customHeight="1">
      <c r="A229" s="11"/>
      <c r="B229" s="11"/>
      <c r="C229" s="11"/>
      <c r="D229" s="11"/>
      <c r="E229" s="11"/>
      <c r="F229" s="11"/>
      <c r="G229" s="11"/>
      <c r="H229" s="11"/>
      <c r="I229" s="34"/>
      <c r="J229" s="11"/>
    </row>
    <row r="230" spans="1:10" ht="18" customHeight="1">
      <c r="A230" s="19"/>
      <c r="B230" s="19"/>
      <c r="C230" s="19"/>
      <c r="D230" s="19"/>
      <c r="E230" s="19"/>
      <c r="F230" s="19"/>
      <c r="G230" s="19"/>
      <c r="H230" s="19"/>
      <c r="I230" s="33"/>
      <c r="J230" s="19"/>
    </row>
    <row r="231" spans="1:10" ht="18" customHeight="1">
      <c r="A231" s="11"/>
      <c r="B231" s="11"/>
      <c r="C231" s="11"/>
      <c r="D231" s="11"/>
      <c r="E231" s="11"/>
      <c r="F231" s="11"/>
      <c r="G231" s="11"/>
      <c r="H231" s="11"/>
      <c r="I231" s="34"/>
      <c r="J231" s="11"/>
    </row>
    <row r="232" spans="1:10" ht="18" customHeight="1">
      <c r="A232" s="19"/>
      <c r="B232" s="19"/>
      <c r="C232" s="19"/>
      <c r="D232" s="19"/>
      <c r="E232" s="19"/>
      <c r="F232" s="19"/>
      <c r="G232" s="19"/>
      <c r="H232" s="19"/>
      <c r="I232" s="33"/>
      <c r="J232" s="19"/>
    </row>
    <row r="233" spans="1:10" ht="18" customHeight="1">
      <c r="A233" s="11"/>
      <c r="B233" s="11"/>
      <c r="C233" s="11"/>
      <c r="D233" s="11"/>
      <c r="E233" s="11"/>
      <c r="F233" s="11"/>
      <c r="G233" s="11"/>
      <c r="H233" s="11"/>
      <c r="I233" s="34"/>
      <c r="J233" s="11"/>
    </row>
    <row r="234" spans="1:10" ht="18" customHeight="1">
      <c r="A234" s="19"/>
      <c r="B234" s="19"/>
      <c r="C234" s="19"/>
      <c r="D234" s="19"/>
      <c r="E234" s="19"/>
      <c r="F234" s="19"/>
      <c r="G234" s="19"/>
      <c r="H234" s="19"/>
      <c r="I234" s="33"/>
      <c r="J234" s="19"/>
    </row>
    <row r="235" spans="1:10" ht="18" customHeight="1">
      <c r="A235" s="11"/>
      <c r="B235" s="11"/>
      <c r="C235" s="11"/>
      <c r="D235" s="11"/>
      <c r="E235" s="11"/>
      <c r="F235" s="11"/>
      <c r="G235" s="11"/>
      <c r="H235" s="11"/>
      <c r="I235" s="34"/>
      <c r="J235" s="11"/>
    </row>
    <row r="236" spans="1:10" ht="18" customHeight="1">
      <c r="A236" s="19"/>
      <c r="B236" s="19"/>
      <c r="C236" s="19"/>
      <c r="D236" s="19"/>
      <c r="E236" s="19"/>
      <c r="F236" s="19"/>
      <c r="G236" s="19"/>
      <c r="H236" s="19"/>
      <c r="I236" s="33"/>
      <c r="J236" s="19"/>
    </row>
    <row r="237" spans="1:10" ht="18" customHeight="1">
      <c r="A237" s="11"/>
      <c r="B237" s="11"/>
      <c r="C237" s="11"/>
      <c r="D237" s="11"/>
      <c r="E237" s="11"/>
      <c r="F237" s="11"/>
      <c r="G237" s="11"/>
      <c r="H237" s="11"/>
      <c r="I237" s="34"/>
      <c r="J237" s="11"/>
    </row>
    <row r="238" spans="1:10" ht="18" customHeight="1">
      <c r="A238" s="19"/>
      <c r="B238" s="19"/>
      <c r="C238" s="19"/>
      <c r="D238" s="19"/>
      <c r="E238" s="19"/>
      <c r="F238" s="19"/>
      <c r="G238" s="19"/>
      <c r="H238" s="19"/>
      <c r="I238" s="33"/>
      <c r="J238" s="19"/>
    </row>
    <row r="239" spans="1:10" ht="18" customHeight="1">
      <c r="A239" s="11"/>
      <c r="B239" s="11"/>
      <c r="C239" s="11"/>
      <c r="D239" s="11"/>
      <c r="E239" s="11"/>
      <c r="F239" s="11"/>
      <c r="G239" s="11"/>
      <c r="H239" s="11"/>
      <c r="I239" s="34"/>
      <c r="J239" s="11"/>
    </row>
    <row r="240" spans="1:10" ht="18" customHeight="1">
      <c r="A240" s="19"/>
      <c r="B240" s="19"/>
      <c r="C240" s="19"/>
      <c r="D240" s="19"/>
      <c r="E240" s="19"/>
      <c r="F240" s="19"/>
      <c r="G240" s="19"/>
      <c r="H240" s="19"/>
      <c r="I240" s="33"/>
      <c r="J240" s="19"/>
    </row>
    <row r="241" spans="1:10" ht="18" customHeight="1">
      <c r="A241" s="11"/>
      <c r="B241" s="11"/>
      <c r="C241" s="11"/>
      <c r="D241" s="11"/>
      <c r="E241" s="11"/>
      <c r="F241" s="11"/>
      <c r="G241" s="11"/>
      <c r="H241" s="11"/>
      <c r="I241" s="34"/>
      <c r="J241" s="11"/>
    </row>
    <row r="242" spans="1:10" ht="18" customHeight="1">
      <c r="A242" s="19"/>
      <c r="B242" s="19"/>
      <c r="C242" s="19"/>
      <c r="D242" s="19"/>
      <c r="E242" s="19"/>
      <c r="F242" s="19"/>
      <c r="G242" s="19"/>
      <c r="H242" s="19"/>
      <c r="I242" s="33"/>
      <c r="J242" s="19"/>
    </row>
    <row r="243" spans="1:10" ht="18" customHeight="1">
      <c r="A243" s="11"/>
      <c r="B243" s="11"/>
      <c r="C243" s="11"/>
      <c r="D243" s="11"/>
      <c r="E243" s="11"/>
      <c r="F243" s="11"/>
      <c r="G243" s="11"/>
      <c r="H243" s="11"/>
      <c r="I243" s="34"/>
      <c r="J243" s="11"/>
    </row>
    <row r="244" spans="1:10" ht="18" customHeight="1">
      <c r="A244" s="19"/>
      <c r="B244" s="19"/>
      <c r="C244" s="19"/>
      <c r="D244" s="19"/>
      <c r="E244" s="19"/>
      <c r="F244" s="19"/>
      <c r="G244" s="19"/>
      <c r="H244" s="19"/>
      <c r="I244" s="33"/>
      <c r="J244" s="19"/>
    </row>
    <row r="245" spans="1:10" ht="18" customHeight="1">
      <c r="A245" s="11"/>
      <c r="B245" s="11"/>
      <c r="C245" s="11"/>
      <c r="D245" s="11"/>
      <c r="E245" s="11"/>
      <c r="F245" s="11"/>
      <c r="G245" s="11"/>
      <c r="H245" s="11"/>
      <c r="I245" s="34"/>
      <c r="J245" s="11"/>
    </row>
    <row r="246" spans="1:10" ht="18" customHeight="1">
      <c r="A246" s="19"/>
      <c r="B246" s="19"/>
      <c r="C246" s="19"/>
      <c r="D246" s="19"/>
      <c r="E246" s="19"/>
      <c r="F246" s="19"/>
      <c r="G246" s="19"/>
      <c r="H246" s="19"/>
      <c r="I246" s="33"/>
      <c r="J246" s="19"/>
    </row>
    <row r="247" spans="1:10" ht="18" customHeight="1">
      <c r="A247" s="11"/>
      <c r="B247" s="11"/>
      <c r="C247" s="11"/>
      <c r="D247" s="11"/>
      <c r="E247" s="11"/>
      <c r="F247" s="11"/>
      <c r="G247" s="11"/>
      <c r="H247" s="11"/>
      <c r="I247" s="34"/>
      <c r="J247" s="11"/>
    </row>
    <row r="248" spans="1:10" ht="18" customHeight="1">
      <c r="A248" s="19"/>
      <c r="B248" s="19"/>
      <c r="C248" s="19"/>
      <c r="D248" s="19"/>
      <c r="E248" s="19"/>
      <c r="F248" s="19"/>
      <c r="G248" s="19"/>
      <c r="H248" s="19"/>
      <c r="I248" s="33"/>
      <c r="J248" s="19"/>
    </row>
    <row r="249" spans="1:10" ht="18" customHeight="1">
      <c r="A249" s="11"/>
      <c r="B249" s="11"/>
      <c r="C249" s="11"/>
      <c r="D249" s="11"/>
      <c r="E249" s="11"/>
      <c r="F249" s="11"/>
      <c r="G249" s="11"/>
      <c r="H249" s="11"/>
      <c r="I249" s="34"/>
      <c r="J249" s="11"/>
    </row>
    <row r="250" spans="1:10" ht="18" customHeight="1">
      <c r="A250" s="19"/>
      <c r="B250" s="19"/>
      <c r="C250" s="19"/>
      <c r="D250" s="19"/>
      <c r="E250" s="19"/>
      <c r="F250" s="19"/>
      <c r="G250" s="19"/>
      <c r="H250" s="19"/>
      <c r="I250" s="33"/>
      <c r="J250" s="19"/>
    </row>
    <row r="251" spans="1:10" ht="18" customHeight="1">
      <c r="A251" s="11"/>
      <c r="B251" s="11"/>
      <c r="C251" s="11"/>
      <c r="D251" s="11"/>
      <c r="E251" s="11"/>
      <c r="F251" s="11"/>
      <c r="G251" s="11"/>
      <c r="H251" s="11"/>
      <c r="I251" s="34"/>
      <c r="J251" s="11"/>
    </row>
    <row r="252" spans="1:10" ht="18" customHeight="1">
      <c r="A252" s="19"/>
      <c r="B252" s="19"/>
      <c r="C252" s="19"/>
      <c r="D252" s="19"/>
      <c r="E252" s="19"/>
      <c r="F252" s="19"/>
      <c r="G252" s="19"/>
      <c r="H252" s="19"/>
      <c r="I252" s="33"/>
      <c r="J252" s="19"/>
    </row>
    <row r="253" spans="1:10" ht="18" customHeight="1">
      <c r="A253" s="11"/>
      <c r="B253" s="11"/>
      <c r="C253" s="11"/>
      <c r="D253" s="11"/>
      <c r="E253" s="11"/>
      <c r="F253" s="11"/>
      <c r="G253" s="11"/>
      <c r="H253" s="11"/>
      <c r="I253" s="34"/>
      <c r="J253" s="11"/>
    </row>
    <row r="254" spans="1:10" ht="18" customHeight="1">
      <c r="A254" s="19"/>
      <c r="B254" s="19"/>
      <c r="C254" s="19"/>
      <c r="D254" s="19"/>
      <c r="E254" s="19"/>
      <c r="F254" s="19"/>
      <c r="G254" s="19"/>
      <c r="H254" s="19"/>
      <c r="I254" s="33"/>
      <c r="J254" s="19"/>
    </row>
    <row r="255" spans="1:10" ht="18" customHeight="1">
      <c r="A255" s="11"/>
      <c r="B255" s="11"/>
      <c r="C255" s="11"/>
      <c r="D255" s="11"/>
      <c r="E255" s="11"/>
      <c r="F255" s="11"/>
      <c r="G255" s="11"/>
      <c r="H255" s="11"/>
      <c r="I255" s="34"/>
      <c r="J255" s="11"/>
    </row>
    <row r="256" spans="1:10" ht="18" customHeight="1">
      <c r="A256" s="19"/>
      <c r="B256" s="19"/>
      <c r="C256" s="19"/>
      <c r="D256" s="19"/>
      <c r="E256" s="19"/>
      <c r="F256" s="19"/>
      <c r="G256" s="19"/>
      <c r="H256" s="19"/>
      <c r="I256" s="33"/>
      <c r="J256" s="19"/>
    </row>
    <row r="257" spans="1:10" ht="18" customHeight="1">
      <c r="A257" s="11"/>
      <c r="B257" s="11"/>
      <c r="C257" s="11"/>
      <c r="D257" s="11"/>
      <c r="E257" s="11"/>
      <c r="F257" s="11"/>
      <c r="G257" s="11"/>
      <c r="H257" s="11"/>
      <c r="I257" s="34"/>
      <c r="J257" s="11"/>
    </row>
    <row r="258" spans="1:10" ht="18" customHeight="1">
      <c r="A258" s="19"/>
      <c r="B258" s="19"/>
      <c r="C258" s="19"/>
      <c r="D258" s="19"/>
      <c r="E258" s="19"/>
      <c r="F258" s="19"/>
      <c r="G258" s="19"/>
      <c r="H258" s="19"/>
      <c r="I258" s="33"/>
      <c r="J258" s="19"/>
    </row>
    <row r="259" spans="1:10" ht="18" customHeight="1">
      <c r="A259" s="11"/>
      <c r="B259" s="11"/>
      <c r="C259" s="11"/>
      <c r="D259" s="11"/>
      <c r="E259" s="11"/>
      <c r="F259" s="11"/>
      <c r="G259" s="11"/>
      <c r="H259" s="11"/>
      <c r="I259" s="34"/>
      <c r="J259" s="11"/>
    </row>
    <row r="260" spans="1:10" ht="18" customHeight="1">
      <c r="A260" s="19"/>
      <c r="B260" s="19"/>
      <c r="C260" s="19"/>
      <c r="D260" s="19"/>
      <c r="E260" s="19"/>
      <c r="F260" s="19"/>
      <c r="G260" s="19"/>
      <c r="H260" s="19"/>
      <c r="I260" s="33"/>
      <c r="J260" s="19"/>
    </row>
    <row r="261" spans="1:10" ht="18" customHeight="1">
      <c r="A261" s="11"/>
      <c r="B261" s="11"/>
      <c r="C261" s="11"/>
      <c r="D261" s="11"/>
      <c r="E261" s="11"/>
      <c r="F261" s="11"/>
      <c r="G261" s="11"/>
      <c r="H261" s="11"/>
      <c r="I261" s="34"/>
      <c r="J261" s="11"/>
    </row>
    <row r="262" spans="1:10" ht="18" customHeight="1">
      <c r="A262" s="19"/>
      <c r="B262" s="19"/>
      <c r="C262" s="19"/>
      <c r="D262" s="19"/>
      <c r="E262" s="19"/>
      <c r="F262" s="19"/>
      <c r="G262" s="19"/>
      <c r="H262" s="19"/>
      <c r="I262" s="33"/>
      <c r="J262" s="19"/>
    </row>
    <row r="263" spans="1:10" ht="18" customHeight="1">
      <c r="A263" s="11"/>
      <c r="B263" s="11"/>
      <c r="C263" s="11"/>
      <c r="D263" s="11"/>
      <c r="E263" s="11"/>
      <c r="F263" s="11"/>
      <c r="G263" s="11"/>
      <c r="H263" s="11"/>
      <c r="I263" s="34"/>
      <c r="J263" s="11"/>
    </row>
    <row r="264" spans="1:10" ht="18" customHeight="1">
      <c r="A264" s="19"/>
      <c r="B264" s="19"/>
      <c r="C264" s="19"/>
      <c r="D264" s="19"/>
      <c r="E264" s="19"/>
      <c r="F264" s="19"/>
      <c r="G264" s="19"/>
      <c r="H264" s="19"/>
      <c r="I264" s="33"/>
      <c r="J264" s="19"/>
    </row>
    <row r="265" spans="1:10" ht="18" customHeight="1">
      <c r="A265" s="11"/>
      <c r="B265" s="11"/>
      <c r="C265" s="11"/>
      <c r="D265" s="11"/>
      <c r="E265" s="11"/>
      <c r="F265" s="11"/>
      <c r="G265" s="11"/>
      <c r="H265" s="11"/>
      <c r="I265" s="34"/>
      <c r="J265" s="11"/>
    </row>
    <row r="266" spans="1:10" ht="18" customHeight="1">
      <c r="A266" s="19"/>
      <c r="B266" s="19"/>
      <c r="C266" s="19"/>
      <c r="D266" s="19"/>
      <c r="E266" s="19"/>
      <c r="F266" s="19"/>
      <c r="G266" s="19"/>
      <c r="H266" s="19"/>
      <c r="I266" s="33"/>
      <c r="J266" s="19"/>
    </row>
    <row r="267" spans="1:10" ht="18" customHeight="1">
      <c r="A267" s="11"/>
      <c r="B267" s="11"/>
      <c r="C267" s="11"/>
      <c r="D267" s="11"/>
      <c r="E267" s="11"/>
      <c r="F267" s="11"/>
      <c r="G267" s="11"/>
      <c r="H267" s="11"/>
      <c r="I267" s="34"/>
      <c r="J267" s="11"/>
    </row>
    <row r="268" spans="1:10" ht="18" customHeight="1">
      <c r="A268" s="19"/>
      <c r="B268" s="19"/>
      <c r="C268" s="19"/>
      <c r="D268" s="19"/>
      <c r="E268" s="19"/>
      <c r="F268" s="19"/>
      <c r="G268" s="19"/>
      <c r="H268" s="19"/>
      <c r="I268" s="33"/>
      <c r="J268" s="19"/>
    </row>
    <row r="269" spans="1:10" ht="18" customHeight="1">
      <c r="A269" s="11"/>
      <c r="B269" s="11"/>
      <c r="C269" s="11"/>
      <c r="D269" s="11"/>
      <c r="E269" s="11"/>
      <c r="F269" s="11"/>
      <c r="G269" s="11"/>
      <c r="H269" s="11"/>
      <c r="I269" s="34"/>
      <c r="J269" s="11"/>
    </row>
    <row r="270" spans="1:10" ht="18" customHeight="1">
      <c r="A270" s="19"/>
      <c r="B270" s="19"/>
      <c r="C270" s="19"/>
      <c r="D270" s="19"/>
      <c r="E270" s="19"/>
      <c r="F270" s="19"/>
      <c r="G270" s="19"/>
      <c r="H270" s="19"/>
      <c r="I270" s="33"/>
      <c r="J270" s="19"/>
    </row>
    <row r="271" spans="1:10" ht="18" customHeight="1">
      <c r="A271" s="11"/>
      <c r="B271" s="11"/>
      <c r="C271" s="11"/>
      <c r="D271" s="11"/>
      <c r="E271" s="11"/>
      <c r="F271" s="11"/>
      <c r="G271" s="11"/>
      <c r="H271" s="11"/>
      <c r="I271" s="34"/>
      <c r="J271" s="11"/>
    </row>
    <row r="272" spans="1:10" ht="18" customHeight="1">
      <c r="A272" s="19"/>
      <c r="B272" s="19"/>
      <c r="C272" s="19"/>
      <c r="D272" s="19"/>
      <c r="E272" s="19"/>
      <c r="F272" s="19"/>
      <c r="G272" s="19"/>
      <c r="H272" s="19"/>
      <c r="I272" s="33"/>
      <c r="J272" s="19"/>
    </row>
    <row r="273" spans="1:10" ht="18" customHeight="1">
      <c r="A273" s="11"/>
      <c r="B273" s="11"/>
      <c r="C273" s="11"/>
      <c r="D273" s="11"/>
      <c r="E273" s="11"/>
      <c r="F273" s="11"/>
      <c r="G273" s="11"/>
      <c r="H273" s="11"/>
      <c r="I273" s="34"/>
      <c r="J273" s="11"/>
    </row>
    <row r="274" spans="1:10" ht="18" customHeight="1">
      <c r="A274" s="19"/>
      <c r="B274" s="19"/>
      <c r="C274" s="19"/>
      <c r="D274" s="19"/>
      <c r="E274" s="19"/>
      <c r="F274" s="19"/>
      <c r="G274" s="19"/>
      <c r="H274" s="19"/>
      <c r="I274" s="33"/>
      <c r="J274" s="19"/>
    </row>
    <row r="275" spans="1:10" ht="18" customHeight="1">
      <c r="A275" s="11"/>
      <c r="B275" s="11"/>
      <c r="C275" s="11"/>
      <c r="D275" s="11"/>
      <c r="E275" s="11"/>
      <c r="F275" s="11"/>
      <c r="G275" s="11"/>
      <c r="H275" s="11"/>
      <c r="I275" s="34"/>
      <c r="J275" s="11"/>
    </row>
    <row r="276" spans="1:10" ht="18" customHeight="1">
      <c r="A276" s="19"/>
      <c r="B276" s="19"/>
      <c r="C276" s="19"/>
      <c r="D276" s="19"/>
      <c r="E276" s="19"/>
      <c r="F276" s="19"/>
      <c r="G276" s="19"/>
      <c r="H276" s="19"/>
      <c r="I276" s="33"/>
      <c r="J276" s="19"/>
    </row>
    <row r="277" spans="1:10" ht="18" customHeight="1">
      <c r="A277" s="11"/>
      <c r="B277" s="11"/>
      <c r="C277" s="11"/>
      <c r="D277" s="11"/>
      <c r="E277" s="11"/>
      <c r="F277" s="11"/>
      <c r="G277" s="11"/>
      <c r="H277" s="11"/>
      <c r="I277" s="34"/>
      <c r="J277" s="11"/>
    </row>
    <row r="278" spans="1:10" ht="18" customHeight="1">
      <c r="A278" s="19"/>
      <c r="B278" s="19"/>
      <c r="C278" s="19"/>
      <c r="D278" s="19"/>
      <c r="E278" s="19"/>
      <c r="F278" s="19"/>
      <c r="G278" s="19"/>
      <c r="H278" s="19"/>
      <c r="I278" s="33"/>
      <c r="J278" s="19"/>
    </row>
    <row r="279" spans="1:10" ht="18" customHeight="1">
      <c r="A279" s="11"/>
      <c r="B279" s="11"/>
      <c r="C279" s="11"/>
      <c r="D279" s="11"/>
      <c r="E279" s="11"/>
      <c r="F279" s="11"/>
      <c r="G279" s="11"/>
      <c r="H279" s="11"/>
      <c r="I279" s="34"/>
      <c r="J279" s="11"/>
    </row>
    <row r="280" spans="1:10" ht="18" customHeight="1">
      <c r="A280" s="19"/>
      <c r="B280" s="19"/>
      <c r="C280" s="19"/>
      <c r="D280" s="19"/>
      <c r="E280" s="19"/>
      <c r="F280" s="19"/>
      <c r="G280" s="19"/>
      <c r="H280" s="19"/>
      <c r="I280" s="33"/>
      <c r="J280" s="19"/>
    </row>
    <row r="281" spans="1:10" ht="18" customHeight="1">
      <c r="A281" s="11"/>
      <c r="B281" s="11"/>
      <c r="C281" s="11"/>
      <c r="D281" s="11"/>
      <c r="E281" s="11"/>
      <c r="F281" s="11"/>
      <c r="G281" s="11"/>
      <c r="H281" s="11"/>
      <c r="I281" s="34"/>
      <c r="J281" s="11"/>
    </row>
    <row r="282" spans="1:10" ht="18" customHeight="1">
      <c r="A282" s="19"/>
      <c r="B282" s="19"/>
      <c r="C282" s="19"/>
      <c r="D282" s="19"/>
      <c r="E282" s="19"/>
      <c r="F282" s="19"/>
      <c r="G282" s="19"/>
      <c r="H282" s="19"/>
      <c r="I282" s="33"/>
      <c r="J282" s="19"/>
    </row>
    <row r="283" spans="1:10" ht="18" customHeight="1">
      <c r="A283" s="11"/>
      <c r="B283" s="11"/>
      <c r="C283" s="11"/>
      <c r="D283" s="11"/>
      <c r="E283" s="11"/>
      <c r="F283" s="11"/>
      <c r="G283" s="11"/>
      <c r="H283" s="11"/>
      <c r="I283" s="34"/>
      <c r="J283" s="11"/>
    </row>
    <row r="284" spans="1:10" ht="18" customHeight="1">
      <c r="A284" s="19"/>
      <c r="B284" s="19"/>
      <c r="C284" s="19"/>
      <c r="D284" s="19"/>
      <c r="E284" s="19"/>
      <c r="F284" s="19"/>
      <c r="G284" s="19"/>
      <c r="H284" s="19"/>
      <c r="I284" s="33"/>
      <c r="J284" s="19"/>
    </row>
    <row r="285" spans="1:10" ht="18" customHeight="1">
      <c r="A285" s="11"/>
      <c r="B285" s="11"/>
      <c r="C285" s="11"/>
      <c r="D285" s="11"/>
      <c r="E285" s="11"/>
      <c r="F285" s="11"/>
      <c r="G285" s="11"/>
      <c r="H285" s="11"/>
      <c r="I285" s="34"/>
      <c r="J285" s="11"/>
    </row>
    <row r="286" spans="1:10" ht="18" customHeight="1">
      <c r="A286" s="19"/>
      <c r="B286" s="19"/>
      <c r="C286" s="19"/>
      <c r="D286" s="19"/>
      <c r="E286" s="19"/>
      <c r="F286" s="19"/>
      <c r="G286" s="19"/>
      <c r="H286" s="19"/>
      <c r="I286" s="33"/>
      <c r="J286" s="19"/>
    </row>
    <row r="287" spans="1:10" ht="18" customHeight="1">
      <c r="A287" s="11"/>
      <c r="B287" s="11"/>
      <c r="C287" s="11"/>
      <c r="D287" s="11"/>
      <c r="E287" s="11"/>
      <c r="F287" s="11"/>
      <c r="G287" s="11"/>
      <c r="H287" s="11"/>
      <c r="I287" s="34"/>
      <c r="J287" s="11"/>
    </row>
    <row r="288" spans="1:10" ht="18" customHeight="1">
      <c r="A288" s="19"/>
      <c r="B288" s="19"/>
      <c r="C288" s="19"/>
      <c r="D288" s="19"/>
      <c r="E288" s="19"/>
      <c r="F288" s="19"/>
      <c r="G288" s="19"/>
      <c r="H288" s="19"/>
      <c r="I288" s="33"/>
      <c r="J288" s="19"/>
    </row>
    <row r="289" spans="1:10" ht="18" customHeight="1">
      <c r="A289" s="11"/>
      <c r="B289" s="11"/>
      <c r="C289" s="11"/>
      <c r="D289" s="11"/>
      <c r="E289" s="11"/>
      <c r="F289" s="11"/>
      <c r="G289" s="11"/>
      <c r="H289" s="11"/>
      <c r="I289" s="34"/>
      <c r="J289" s="11"/>
    </row>
    <row r="290" spans="1:10" ht="18" customHeight="1">
      <c r="A290" s="19"/>
      <c r="B290" s="19"/>
      <c r="C290" s="19"/>
      <c r="D290" s="19"/>
      <c r="E290" s="19"/>
      <c r="F290" s="19"/>
      <c r="G290" s="19"/>
      <c r="H290" s="19"/>
      <c r="I290" s="33"/>
      <c r="J290" s="19"/>
    </row>
    <row r="291" spans="1:10" ht="18" customHeight="1">
      <c r="A291" s="11"/>
      <c r="B291" s="11"/>
      <c r="C291" s="11"/>
      <c r="D291" s="11"/>
      <c r="E291" s="11"/>
      <c r="F291" s="11"/>
      <c r="G291" s="11"/>
      <c r="H291" s="11"/>
      <c r="I291" s="34"/>
      <c r="J291" s="11"/>
    </row>
    <row r="292" spans="1:10" ht="18" customHeight="1">
      <c r="A292" s="19"/>
      <c r="B292" s="19"/>
      <c r="C292" s="19"/>
      <c r="D292" s="19"/>
      <c r="E292" s="19"/>
      <c r="F292" s="19"/>
      <c r="G292" s="19"/>
      <c r="H292" s="19"/>
      <c r="I292" s="33"/>
      <c r="J292" s="19"/>
    </row>
    <row r="293" spans="1:10" ht="18" customHeight="1">
      <c r="A293" s="11"/>
      <c r="B293" s="11"/>
      <c r="C293" s="11"/>
      <c r="D293" s="11"/>
      <c r="E293" s="11"/>
      <c r="F293" s="11"/>
      <c r="G293" s="11"/>
      <c r="H293" s="11"/>
      <c r="I293" s="34"/>
      <c r="J293" s="11"/>
    </row>
    <row r="294" spans="1:10" ht="18" customHeight="1">
      <c r="A294" s="19"/>
      <c r="B294" s="19"/>
      <c r="C294" s="19"/>
      <c r="D294" s="19"/>
      <c r="E294" s="19"/>
      <c r="F294" s="19"/>
      <c r="G294" s="19"/>
      <c r="H294" s="19"/>
      <c r="I294" s="33"/>
      <c r="J294" s="19"/>
    </row>
    <row r="295" spans="1:10" ht="18" customHeight="1">
      <c r="A295" s="11"/>
      <c r="B295" s="11"/>
      <c r="C295" s="11"/>
      <c r="D295" s="11"/>
      <c r="E295" s="11"/>
      <c r="F295" s="11"/>
      <c r="G295" s="11"/>
      <c r="H295" s="11"/>
      <c r="I295" s="34"/>
      <c r="J295" s="11"/>
    </row>
    <row r="296" spans="1:10" ht="18" customHeight="1">
      <c r="A296" s="19"/>
      <c r="B296" s="19"/>
      <c r="C296" s="19"/>
      <c r="D296" s="19"/>
      <c r="E296" s="19"/>
      <c r="F296" s="19"/>
      <c r="G296" s="19"/>
      <c r="H296" s="19"/>
      <c r="I296" s="33"/>
      <c r="J296" s="19"/>
    </row>
    <row r="297" spans="1:10" ht="18" customHeight="1">
      <c r="A297" s="11"/>
      <c r="B297" s="11"/>
      <c r="C297" s="11"/>
      <c r="D297" s="11"/>
      <c r="E297" s="11"/>
      <c r="F297" s="11"/>
      <c r="G297" s="11"/>
      <c r="H297" s="11"/>
      <c r="I297" s="34"/>
      <c r="J297" s="11"/>
    </row>
    <row r="298" spans="1:10" ht="18" customHeight="1">
      <c r="A298" s="19"/>
      <c r="B298" s="19"/>
      <c r="C298" s="19"/>
      <c r="D298" s="19"/>
      <c r="E298" s="19"/>
      <c r="F298" s="19"/>
      <c r="G298" s="19"/>
      <c r="H298" s="19"/>
      <c r="I298" s="33"/>
      <c r="J298" s="19"/>
    </row>
    <row r="299" spans="1:10" ht="18" customHeight="1">
      <c r="A299" s="11"/>
      <c r="B299" s="11"/>
      <c r="C299" s="11"/>
      <c r="D299" s="11"/>
      <c r="E299" s="11"/>
      <c r="F299" s="11"/>
      <c r="G299" s="11"/>
      <c r="H299" s="11"/>
      <c r="I299" s="34"/>
      <c r="J299" s="11"/>
    </row>
    <row r="300" spans="1:10" ht="18" customHeight="1">
      <c r="A300" s="19"/>
      <c r="B300" s="19"/>
      <c r="C300" s="19"/>
      <c r="D300" s="19"/>
      <c r="E300" s="19"/>
      <c r="F300" s="19"/>
      <c r="G300" s="19"/>
      <c r="H300" s="19"/>
      <c r="I300" s="33"/>
      <c r="J300" s="19"/>
    </row>
    <row r="301" spans="1:10" ht="18" customHeight="1">
      <c r="A301" s="11"/>
      <c r="B301" s="11"/>
      <c r="C301" s="11"/>
      <c r="D301" s="11"/>
      <c r="E301" s="11"/>
      <c r="F301" s="11"/>
      <c r="G301" s="11"/>
      <c r="H301" s="11"/>
      <c r="I301" s="34"/>
      <c r="J301" s="11"/>
    </row>
    <row r="302" spans="1:10" ht="18" customHeight="1">
      <c r="A302" s="19"/>
      <c r="B302" s="19"/>
      <c r="C302" s="19"/>
      <c r="D302" s="19"/>
      <c r="E302" s="19"/>
      <c r="F302" s="19"/>
      <c r="G302" s="19"/>
      <c r="H302" s="19"/>
      <c r="I302" s="33"/>
      <c r="J302" s="19"/>
    </row>
    <row r="303" spans="1:10" ht="18" customHeight="1">
      <c r="A303" s="11"/>
      <c r="B303" s="11"/>
      <c r="C303" s="11"/>
      <c r="D303" s="11"/>
      <c r="E303" s="11"/>
      <c r="F303" s="11"/>
      <c r="G303" s="11"/>
      <c r="H303" s="11"/>
      <c r="I303" s="34"/>
      <c r="J303" s="11"/>
    </row>
    <row r="304" spans="1:10" ht="18" customHeight="1">
      <c r="A304" s="19"/>
      <c r="B304" s="19"/>
      <c r="C304" s="19"/>
      <c r="D304" s="19"/>
      <c r="E304" s="19"/>
      <c r="F304" s="19"/>
      <c r="G304" s="19"/>
      <c r="H304" s="19"/>
      <c r="I304" s="33"/>
      <c r="J304" s="19"/>
    </row>
    <row r="305" spans="1:10" ht="18" customHeight="1">
      <c r="A305" s="11"/>
      <c r="B305" s="11"/>
      <c r="C305" s="11"/>
      <c r="D305" s="11"/>
      <c r="E305" s="11"/>
      <c r="F305" s="11"/>
      <c r="G305" s="11"/>
      <c r="H305" s="11"/>
      <c r="I305" s="34"/>
      <c r="J305" s="11"/>
    </row>
    <row r="306" spans="1:10" ht="18" customHeight="1">
      <c r="A306" s="19"/>
      <c r="B306" s="19"/>
      <c r="C306" s="19"/>
      <c r="D306" s="19"/>
      <c r="E306" s="19"/>
      <c r="F306" s="19"/>
      <c r="G306" s="19"/>
      <c r="H306" s="19"/>
      <c r="I306" s="33"/>
      <c r="J306" s="19"/>
    </row>
    <row r="307" spans="1:10" ht="18" customHeight="1">
      <c r="A307" s="11"/>
      <c r="B307" s="11"/>
      <c r="C307" s="11"/>
      <c r="D307" s="11"/>
      <c r="E307" s="11"/>
      <c r="F307" s="11"/>
      <c r="G307" s="11"/>
      <c r="H307" s="11"/>
      <c r="I307" s="34"/>
      <c r="J307" s="11"/>
    </row>
    <row r="308" spans="1:10" ht="18" customHeight="1">
      <c r="A308" s="19"/>
      <c r="B308" s="19"/>
      <c r="C308" s="19"/>
      <c r="D308" s="19"/>
      <c r="E308" s="19"/>
      <c r="F308" s="19"/>
      <c r="G308" s="19"/>
      <c r="H308" s="19"/>
      <c r="I308" s="33"/>
      <c r="J308" s="19"/>
    </row>
    <row r="309" spans="1:10" ht="18" customHeight="1">
      <c r="A309" s="11"/>
      <c r="B309" s="11"/>
      <c r="C309" s="11"/>
      <c r="D309" s="11"/>
      <c r="E309" s="11"/>
      <c r="F309" s="11"/>
      <c r="G309" s="11"/>
      <c r="H309" s="11"/>
      <c r="I309" s="34"/>
      <c r="J309" s="11"/>
    </row>
    <row r="310" spans="1:10" ht="18" customHeight="1">
      <c r="A310" s="19"/>
      <c r="B310" s="19"/>
      <c r="C310" s="19"/>
      <c r="D310" s="19"/>
      <c r="E310" s="19"/>
      <c r="F310" s="19"/>
      <c r="G310" s="19"/>
      <c r="H310" s="19"/>
      <c r="I310" s="33"/>
      <c r="J310" s="19"/>
    </row>
    <row r="311" spans="1:10" ht="18" customHeight="1">
      <c r="A311" s="11"/>
      <c r="B311" s="11"/>
      <c r="C311" s="11"/>
      <c r="D311" s="11"/>
      <c r="E311" s="11"/>
      <c r="F311" s="11"/>
      <c r="G311" s="11"/>
      <c r="H311" s="11"/>
      <c r="I311" s="34"/>
      <c r="J311" s="11"/>
    </row>
    <row r="312" spans="1:10" ht="18" customHeight="1">
      <c r="A312" s="19"/>
      <c r="B312" s="19"/>
      <c r="C312" s="19"/>
      <c r="D312" s="19"/>
      <c r="E312" s="19"/>
      <c r="F312" s="19"/>
      <c r="G312" s="19"/>
      <c r="H312" s="19"/>
      <c r="I312" s="33"/>
      <c r="J312" s="19"/>
    </row>
    <row r="313" spans="1:10" ht="18" customHeight="1">
      <c r="A313" s="11"/>
      <c r="B313" s="11"/>
      <c r="C313" s="11"/>
      <c r="D313" s="11"/>
      <c r="E313" s="11"/>
      <c r="F313" s="11"/>
      <c r="G313" s="11"/>
      <c r="H313" s="11"/>
      <c r="I313" s="34"/>
      <c r="J313" s="11"/>
    </row>
    <row r="314" spans="1:10" ht="18" customHeight="1">
      <c r="A314" s="19"/>
      <c r="B314" s="19"/>
      <c r="C314" s="19"/>
      <c r="D314" s="19"/>
      <c r="E314" s="19"/>
      <c r="F314" s="19"/>
      <c r="G314" s="19"/>
      <c r="H314" s="19"/>
      <c r="I314" s="33"/>
      <c r="J314" s="19"/>
    </row>
    <row r="315" spans="1:10" ht="18" customHeight="1">
      <c r="A315" s="11"/>
      <c r="B315" s="11"/>
      <c r="C315" s="11"/>
      <c r="D315" s="11"/>
      <c r="E315" s="11"/>
      <c r="F315" s="11"/>
      <c r="G315" s="11"/>
      <c r="H315" s="11"/>
      <c r="I315" s="34"/>
      <c r="J315" s="11"/>
    </row>
    <row r="316" spans="1:10" ht="18" customHeight="1">
      <c r="A316" s="19"/>
      <c r="B316" s="19"/>
      <c r="C316" s="19"/>
      <c r="D316" s="19"/>
      <c r="E316" s="19"/>
      <c r="F316" s="19"/>
      <c r="G316" s="19"/>
      <c r="H316" s="19"/>
      <c r="I316" s="33"/>
      <c r="J316" s="19"/>
    </row>
    <row r="317" spans="1:10" ht="18" customHeight="1">
      <c r="A317" s="11"/>
      <c r="B317" s="11"/>
      <c r="C317" s="11"/>
      <c r="D317" s="11"/>
      <c r="E317" s="11"/>
      <c r="F317" s="11"/>
      <c r="G317" s="11"/>
      <c r="H317" s="11"/>
      <c r="I317" s="34"/>
      <c r="J317" s="11"/>
    </row>
    <row r="318" spans="1:10" ht="18" customHeight="1">
      <c r="A318" s="19"/>
      <c r="B318" s="19"/>
      <c r="C318" s="19"/>
      <c r="D318" s="19"/>
      <c r="E318" s="19"/>
      <c r="F318" s="19"/>
      <c r="G318" s="19"/>
      <c r="H318" s="19"/>
      <c r="I318" s="33"/>
      <c r="J318" s="19"/>
    </row>
    <row r="319" spans="1:10" ht="18" customHeight="1">
      <c r="A319" s="11"/>
      <c r="B319" s="11"/>
      <c r="C319" s="11"/>
      <c r="D319" s="11"/>
      <c r="E319" s="11"/>
      <c r="F319" s="11"/>
      <c r="G319" s="11"/>
      <c r="H319" s="11"/>
      <c r="I319" s="34"/>
      <c r="J319" s="11"/>
    </row>
    <row r="320" spans="1:10" ht="18" customHeight="1">
      <c r="A320" s="19"/>
      <c r="B320" s="19"/>
      <c r="C320" s="19"/>
      <c r="D320" s="19"/>
      <c r="E320" s="19"/>
      <c r="F320" s="19"/>
      <c r="G320" s="19"/>
      <c r="H320" s="19"/>
      <c r="I320" s="33"/>
      <c r="J320" s="19"/>
    </row>
    <row r="321" spans="1:10" ht="18" customHeight="1">
      <c r="A321" s="11"/>
      <c r="B321" s="11"/>
      <c r="C321" s="11"/>
      <c r="D321" s="11"/>
      <c r="E321" s="11"/>
      <c r="F321" s="11"/>
      <c r="G321" s="11"/>
      <c r="H321" s="11"/>
      <c r="I321" s="34"/>
      <c r="J321" s="11"/>
    </row>
    <row r="322" spans="1:10" ht="18" customHeight="1">
      <c r="A322" s="19"/>
      <c r="B322" s="19"/>
      <c r="C322" s="19"/>
      <c r="D322" s="19"/>
      <c r="E322" s="19"/>
      <c r="F322" s="19"/>
      <c r="G322" s="19"/>
      <c r="H322" s="19"/>
      <c r="I322" s="33"/>
      <c r="J322" s="19"/>
    </row>
    <row r="323" spans="1:10" ht="18" customHeight="1">
      <c r="A323" s="11"/>
      <c r="B323" s="11"/>
      <c r="C323" s="11"/>
      <c r="D323" s="11"/>
      <c r="E323" s="11"/>
      <c r="F323" s="11"/>
      <c r="G323" s="11"/>
      <c r="H323" s="11"/>
      <c r="I323" s="34"/>
      <c r="J323" s="11"/>
    </row>
    <row r="324" spans="1:10" ht="18" customHeight="1">
      <c r="A324" s="19"/>
      <c r="B324" s="19"/>
      <c r="C324" s="19"/>
      <c r="D324" s="19"/>
      <c r="E324" s="19"/>
      <c r="F324" s="19"/>
      <c r="G324" s="19"/>
      <c r="H324" s="19"/>
      <c r="I324" s="33"/>
      <c r="J324" s="19"/>
    </row>
    <row r="325" spans="1:10" ht="18" customHeight="1">
      <c r="A325" s="11"/>
      <c r="B325" s="11"/>
      <c r="C325" s="11"/>
      <c r="D325" s="11"/>
      <c r="E325" s="11"/>
      <c r="F325" s="11"/>
      <c r="G325" s="11"/>
      <c r="H325" s="11"/>
      <c r="I325" s="34"/>
      <c r="J325" s="11"/>
    </row>
    <row r="326" spans="1:10" ht="18" customHeight="1">
      <c r="A326" s="19"/>
      <c r="B326" s="19"/>
      <c r="C326" s="19"/>
      <c r="D326" s="19"/>
      <c r="E326" s="19"/>
      <c r="F326" s="19"/>
      <c r="G326" s="19"/>
      <c r="H326" s="19"/>
      <c r="I326" s="33"/>
      <c r="J326" s="19"/>
    </row>
    <row r="327" spans="1:10" ht="18" customHeight="1">
      <c r="A327" s="11"/>
      <c r="B327" s="11"/>
      <c r="C327" s="11"/>
      <c r="D327" s="11"/>
      <c r="E327" s="11"/>
      <c r="F327" s="11"/>
      <c r="G327" s="11"/>
      <c r="H327" s="11"/>
      <c r="I327" s="34"/>
      <c r="J327" s="11"/>
    </row>
    <row r="328" spans="1:10" ht="18" customHeight="1">
      <c r="A328" s="19"/>
      <c r="B328" s="19"/>
      <c r="C328" s="19"/>
      <c r="D328" s="19"/>
      <c r="E328" s="19"/>
      <c r="F328" s="19"/>
      <c r="G328" s="19"/>
      <c r="H328" s="19"/>
      <c r="I328" s="33"/>
      <c r="J328" s="19"/>
    </row>
    <row r="329" spans="1:10" ht="18" customHeight="1">
      <c r="A329" s="11"/>
      <c r="B329" s="11"/>
      <c r="C329" s="11"/>
      <c r="D329" s="11"/>
      <c r="E329" s="11"/>
      <c r="F329" s="11"/>
      <c r="G329" s="11"/>
      <c r="H329" s="11"/>
      <c r="I329" s="34"/>
      <c r="J329" s="11"/>
    </row>
    <row r="330" spans="1:10" ht="18" customHeight="1">
      <c r="A330" s="19"/>
      <c r="B330" s="19"/>
      <c r="C330" s="19"/>
      <c r="D330" s="19"/>
      <c r="E330" s="19"/>
      <c r="F330" s="19"/>
      <c r="G330" s="19"/>
      <c r="H330" s="19"/>
      <c r="I330" s="33"/>
      <c r="J330" s="19"/>
    </row>
    <row r="331" spans="1:10" ht="18" customHeight="1">
      <c r="A331" s="11"/>
      <c r="B331" s="11"/>
      <c r="C331" s="11"/>
      <c r="D331" s="11"/>
      <c r="E331" s="11"/>
      <c r="F331" s="11"/>
      <c r="G331" s="11"/>
      <c r="H331" s="11"/>
      <c r="I331" s="34"/>
      <c r="J331" s="11"/>
    </row>
    <row r="332" spans="1:10" ht="18" customHeight="1">
      <c r="A332" s="19"/>
      <c r="B332" s="19"/>
      <c r="C332" s="19"/>
      <c r="D332" s="19"/>
      <c r="E332" s="19"/>
      <c r="F332" s="19"/>
      <c r="G332" s="19"/>
      <c r="H332" s="19"/>
      <c r="I332" s="33"/>
      <c r="J332" s="19"/>
    </row>
    <row r="333" spans="1:10" ht="18" customHeight="1">
      <c r="A333" s="11"/>
      <c r="B333" s="11"/>
      <c r="C333" s="11"/>
      <c r="D333" s="11"/>
      <c r="E333" s="11"/>
      <c r="F333" s="11"/>
      <c r="G333" s="11"/>
      <c r="H333" s="11"/>
      <c r="I333" s="34"/>
      <c r="J333" s="11"/>
    </row>
    <row r="334" spans="1:10" ht="18" customHeight="1">
      <c r="A334" s="19"/>
      <c r="B334" s="19"/>
      <c r="C334" s="19"/>
      <c r="D334" s="19"/>
      <c r="E334" s="19"/>
      <c r="F334" s="19"/>
      <c r="G334" s="19"/>
      <c r="H334" s="19"/>
      <c r="I334" s="33"/>
      <c r="J334" s="19"/>
    </row>
    <row r="335" spans="1:10" ht="18" customHeight="1">
      <c r="A335" s="11"/>
      <c r="B335" s="11"/>
      <c r="C335" s="11"/>
      <c r="D335" s="11"/>
      <c r="E335" s="11"/>
      <c r="F335" s="11"/>
      <c r="G335" s="11"/>
      <c r="H335" s="11"/>
      <c r="I335" s="34"/>
      <c r="J335" s="11"/>
    </row>
    <row r="336" spans="1:10" ht="18" customHeight="1">
      <c r="A336" s="19"/>
      <c r="B336" s="19"/>
      <c r="C336" s="19"/>
      <c r="D336" s="19"/>
      <c r="E336" s="19"/>
      <c r="F336" s="19"/>
      <c r="G336" s="19"/>
      <c r="H336" s="19"/>
      <c r="I336" s="33"/>
      <c r="J336" s="19"/>
    </row>
    <row r="337" spans="1:10" ht="18" customHeight="1">
      <c r="A337" s="11"/>
      <c r="B337" s="11"/>
      <c r="C337" s="11"/>
      <c r="D337" s="11"/>
      <c r="E337" s="11"/>
      <c r="F337" s="11"/>
      <c r="G337" s="11"/>
      <c r="H337" s="11"/>
      <c r="I337" s="34"/>
      <c r="J337" s="11"/>
    </row>
    <row r="338" spans="1:10" ht="18" customHeight="1">
      <c r="A338" s="19"/>
      <c r="B338" s="19"/>
      <c r="C338" s="19"/>
      <c r="D338" s="19"/>
      <c r="E338" s="19"/>
      <c r="F338" s="19"/>
      <c r="G338" s="19"/>
      <c r="H338" s="19"/>
      <c r="I338" s="33"/>
      <c r="J338" s="19"/>
    </row>
    <row r="339" spans="1:10" ht="18" customHeight="1">
      <c r="A339" s="11"/>
      <c r="B339" s="11"/>
      <c r="C339" s="11"/>
      <c r="D339" s="11"/>
      <c r="E339" s="11"/>
      <c r="F339" s="11"/>
      <c r="G339" s="11"/>
      <c r="H339" s="11"/>
      <c r="I339" s="34"/>
      <c r="J339" s="11"/>
    </row>
    <row r="340" spans="1:10" ht="18" customHeight="1">
      <c r="A340" s="19"/>
      <c r="B340" s="19"/>
      <c r="C340" s="19"/>
      <c r="D340" s="19"/>
      <c r="E340" s="19"/>
      <c r="F340" s="19"/>
      <c r="G340" s="19"/>
      <c r="H340" s="19"/>
      <c r="I340" s="33"/>
      <c r="J340" s="19"/>
    </row>
    <row r="341" spans="1:10" ht="18" customHeight="1">
      <c r="A341" s="11"/>
      <c r="B341" s="11"/>
      <c r="C341" s="11"/>
      <c r="D341" s="11"/>
      <c r="E341" s="11"/>
      <c r="F341" s="11"/>
      <c r="G341" s="11"/>
      <c r="H341" s="11"/>
      <c r="I341" s="34"/>
      <c r="J341" s="11"/>
    </row>
    <row r="342" spans="1:10" ht="18" customHeight="1">
      <c r="A342" s="19"/>
      <c r="B342" s="19"/>
      <c r="C342" s="19"/>
      <c r="D342" s="19"/>
      <c r="E342" s="19"/>
      <c r="F342" s="19"/>
      <c r="G342" s="19"/>
      <c r="H342" s="19"/>
      <c r="I342" s="33"/>
      <c r="J342" s="19"/>
    </row>
    <row r="343" spans="1:10" ht="18" customHeight="1">
      <c r="A343" s="11"/>
      <c r="B343" s="11"/>
      <c r="C343" s="11"/>
      <c r="D343" s="11"/>
      <c r="E343" s="11"/>
      <c r="F343" s="11"/>
      <c r="G343" s="11"/>
      <c r="H343" s="11"/>
      <c r="I343" s="34"/>
      <c r="J343" s="11"/>
    </row>
    <row r="344" spans="1:10" ht="18" customHeight="1">
      <c r="A344" s="19"/>
      <c r="B344" s="19"/>
      <c r="C344" s="19"/>
      <c r="D344" s="19"/>
      <c r="E344" s="19"/>
      <c r="F344" s="19"/>
      <c r="G344" s="19"/>
      <c r="H344" s="19"/>
      <c r="I344" s="33"/>
      <c r="J344" s="19"/>
    </row>
    <row r="345" spans="1:10" ht="18" customHeight="1">
      <c r="A345" s="11"/>
      <c r="B345" s="11"/>
      <c r="C345" s="11"/>
      <c r="D345" s="11"/>
      <c r="E345" s="11"/>
      <c r="F345" s="11"/>
      <c r="G345" s="11"/>
      <c r="H345" s="11"/>
      <c r="I345" s="34"/>
      <c r="J345" s="11"/>
    </row>
    <row r="346" spans="1:10" ht="18" customHeight="1">
      <c r="A346" s="19"/>
      <c r="B346" s="19"/>
      <c r="C346" s="19"/>
      <c r="D346" s="19"/>
      <c r="E346" s="19"/>
      <c r="F346" s="19"/>
      <c r="G346" s="19"/>
      <c r="H346" s="19"/>
      <c r="I346" s="33"/>
      <c r="J346" s="19"/>
    </row>
    <row r="347" spans="1:10" ht="18" customHeight="1">
      <c r="A347" s="11"/>
      <c r="B347" s="11"/>
      <c r="C347" s="11"/>
      <c r="D347" s="11"/>
      <c r="E347" s="11"/>
      <c r="F347" s="11"/>
      <c r="G347" s="11"/>
      <c r="H347" s="11"/>
      <c r="I347" s="34"/>
      <c r="J347" s="11"/>
    </row>
    <row r="348" spans="1:10" ht="18" customHeight="1">
      <c r="A348" s="19"/>
      <c r="B348" s="19"/>
      <c r="C348" s="19"/>
      <c r="D348" s="19"/>
      <c r="E348" s="19"/>
      <c r="F348" s="19"/>
      <c r="G348" s="19"/>
      <c r="H348" s="19"/>
      <c r="I348" s="33"/>
      <c r="J348" s="19"/>
    </row>
    <row r="349" spans="1:10" ht="18" customHeight="1">
      <c r="A349" s="11"/>
      <c r="B349" s="11"/>
      <c r="C349" s="11"/>
      <c r="D349" s="11"/>
      <c r="E349" s="11"/>
      <c r="F349" s="11"/>
      <c r="G349" s="11"/>
      <c r="H349" s="11"/>
      <c r="I349" s="34"/>
      <c r="J349" s="11"/>
    </row>
    <row r="350" spans="1:10" ht="18" customHeight="1">
      <c r="A350" s="19"/>
      <c r="B350" s="19"/>
      <c r="C350" s="19"/>
      <c r="D350" s="19"/>
      <c r="E350" s="19"/>
      <c r="F350" s="19"/>
      <c r="G350" s="19"/>
      <c r="H350" s="19"/>
      <c r="I350" s="33"/>
      <c r="J350" s="19"/>
    </row>
    <row r="351" spans="1:10" ht="18" customHeight="1">
      <c r="A351" s="11"/>
      <c r="B351" s="11"/>
      <c r="C351" s="11"/>
      <c r="D351" s="11"/>
      <c r="E351" s="11"/>
      <c r="F351" s="11"/>
      <c r="G351" s="11"/>
      <c r="H351" s="11"/>
      <c r="I351" s="34"/>
      <c r="J351" s="11"/>
    </row>
    <row r="352" spans="1:10" ht="18" customHeight="1">
      <c r="A352" s="19"/>
      <c r="B352" s="19"/>
      <c r="C352" s="19"/>
      <c r="D352" s="19"/>
      <c r="E352" s="19"/>
      <c r="F352" s="19"/>
      <c r="G352" s="19"/>
      <c r="H352" s="19"/>
      <c r="I352" s="33"/>
      <c r="J352" s="19"/>
    </row>
    <row r="353" spans="1:10" ht="18" customHeight="1">
      <c r="A353" s="11"/>
      <c r="B353" s="11"/>
      <c r="C353" s="11"/>
      <c r="D353" s="11"/>
      <c r="E353" s="11"/>
      <c r="F353" s="11"/>
      <c r="G353" s="11"/>
      <c r="H353" s="11"/>
      <c r="I353" s="34"/>
      <c r="J353" s="11"/>
    </row>
    <row r="354" spans="1:10" ht="18" customHeight="1">
      <c r="A354" s="19"/>
      <c r="B354" s="19"/>
      <c r="C354" s="19"/>
      <c r="D354" s="19"/>
      <c r="E354" s="19"/>
      <c r="F354" s="19"/>
      <c r="G354" s="19"/>
      <c r="H354" s="19"/>
      <c r="I354" s="33"/>
      <c r="J354" s="19"/>
    </row>
    <row r="355" spans="1:10" ht="18" customHeight="1">
      <c r="A355" s="11"/>
      <c r="B355" s="11"/>
      <c r="C355" s="11"/>
      <c r="D355" s="11"/>
      <c r="E355" s="11"/>
      <c r="F355" s="11"/>
      <c r="G355" s="11"/>
      <c r="H355" s="11"/>
      <c r="I355" s="34"/>
      <c r="J355" s="11"/>
    </row>
    <row r="356" spans="1:10" ht="18" customHeight="1">
      <c r="A356" s="19"/>
      <c r="B356" s="19"/>
      <c r="C356" s="19"/>
      <c r="D356" s="19"/>
      <c r="E356" s="19"/>
      <c r="F356" s="19"/>
      <c r="G356" s="19"/>
      <c r="H356" s="19"/>
      <c r="I356" s="33"/>
      <c r="J356" s="19"/>
    </row>
    <row r="357" spans="1:10" ht="18" customHeight="1">
      <c r="A357" s="11"/>
      <c r="B357" s="11"/>
      <c r="C357" s="11"/>
      <c r="D357" s="11"/>
      <c r="E357" s="11"/>
      <c r="F357" s="11"/>
      <c r="G357" s="11"/>
      <c r="H357" s="11"/>
      <c r="I357" s="34"/>
      <c r="J357" s="11"/>
    </row>
    <row r="358" spans="1:10" ht="18" customHeight="1">
      <c r="A358" s="19"/>
      <c r="B358" s="19"/>
      <c r="C358" s="19"/>
      <c r="D358" s="19"/>
      <c r="E358" s="19"/>
      <c r="F358" s="19"/>
      <c r="G358" s="19"/>
      <c r="H358" s="19"/>
      <c r="I358" s="33"/>
      <c r="J358" s="19"/>
    </row>
    <row r="359" spans="1:10" ht="18" customHeight="1">
      <c r="A359" s="11"/>
      <c r="B359" s="11"/>
      <c r="C359" s="11"/>
      <c r="D359" s="11"/>
      <c r="E359" s="11"/>
      <c r="F359" s="11"/>
      <c r="G359" s="11"/>
      <c r="H359" s="11"/>
      <c r="I359" s="34"/>
      <c r="J359" s="11"/>
    </row>
    <row r="360" spans="1:10" ht="18" customHeight="1">
      <c r="A360" s="19"/>
      <c r="B360" s="19"/>
      <c r="C360" s="19"/>
      <c r="D360" s="19"/>
      <c r="E360" s="19"/>
      <c r="F360" s="19"/>
      <c r="G360" s="19"/>
      <c r="H360" s="19"/>
      <c r="I360" s="33"/>
      <c r="J360" s="19"/>
    </row>
    <row r="361" spans="1:10" ht="18" customHeight="1">
      <c r="A361" s="11"/>
      <c r="B361" s="11"/>
      <c r="C361" s="11"/>
      <c r="D361" s="11"/>
      <c r="E361" s="11"/>
      <c r="F361" s="11"/>
      <c r="G361" s="11"/>
      <c r="H361" s="11"/>
      <c r="I361" s="34"/>
      <c r="J361" s="11"/>
    </row>
    <row r="362" spans="1:10" ht="18" customHeight="1">
      <c r="A362" s="19"/>
      <c r="B362" s="19"/>
      <c r="C362" s="19"/>
      <c r="D362" s="19"/>
      <c r="E362" s="19"/>
      <c r="F362" s="19"/>
      <c r="G362" s="19"/>
      <c r="H362" s="19"/>
      <c r="I362" s="33"/>
      <c r="J362" s="19"/>
    </row>
    <row r="363" spans="1:10" ht="18" customHeight="1">
      <c r="A363" s="11"/>
      <c r="B363" s="11"/>
      <c r="C363" s="11"/>
      <c r="D363" s="11"/>
      <c r="E363" s="11"/>
      <c r="F363" s="11"/>
      <c r="G363" s="11"/>
      <c r="H363" s="11"/>
      <c r="I363" s="34"/>
      <c r="J363" s="11"/>
    </row>
    <row r="364" spans="1:10" ht="18" customHeight="1">
      <c r="A364" s="19"/>
      <c r="B364" s="19"/>
      <c r="C364" s="19"/>
      <c r="D364" s="19"/>
      <c r="E364" s="19"/>
      <c r="F364" s="19"/>
      <c r="G364" s="19"/>
      <c r="H364" s="19"/>
      <c r="I364" s="33"/>
      <c r="J364" s="19"/>
    </row>
    <row r="365" spans="1:10" ht="18" customHeight="1">
      <c r="A365" s="11"/>
      <c r="B365" s="11"/>
      <c r="C365" s="11"/>
      <c r="D365" s="11"/>
      <c r="E365" s="11"/>
      <c r="F365" s="11"/>
      <c r="G365" s="11"/>
      <c r="H365" s="11"/>
      <c r="I365" s="34"/>
      <c r="J365" s="11"/>
    </row>
    <row r="366" spans="1:10" ht="18" customHeight="1">
      <c r="A366" s="19"/>
      <c r="B366" s="19"/>
      <c r="C366" s="19"/>
      <c r="D366" s="19"/>
      <c r="E366" s="19"/>
      <c r="F366" s="19"/>
      <c r="G366" s="19"/>
      <c r="H366" s="19"/>
      <c r="I366" s="33"/>
      <c r="J366" s="19"/>
    </row>
    <row r="367" spans="1:10" ht="18" customHeight="1">
      <c r="A367" s="11"/>
      <c r="B367" s="11"/>
      <c r="C367" s="11"/>
      <c r="D367" s="11"/>
      <c r="E367" s="11"/>
      <c r="F367" s="11"/>
      <c r="G367" s="11"/>
      <c r="H367" s="11"/>
      <c r="I367" s="34"/>
      <c r="J367" s="11"/>
    </row>
    <row r="368" spans="1:10" ht="18" customHeight="1">
      <c r="A368" s="19"/>
      <c r="B368" s="19"/>
      <c r="C368" s="19"/>
      <c r="D368" s="19"/>
      <c r="E368" s="19"/>
      <c r="F368" s="19"/>
      <c r="G368" s="19"/>
      <c r="H368" s="19"/>
      <c r="I368" s="33"/>
      <c r="J368" s="19"/>
    </row>
    <row r="369" spans="1:10" ht="18" customHeight="1">
      <c r="A369" s="11"/>
      <c r="B369" s="11"/>
      <c r="C369" s="11"/>
      <c r="D369" s="11"/>
      <c r="E369" s="11"/>
      <c r="F369" s="11"/>
      <c r="G369" s="11"/>
      <c r="H369" s="11"/>
      <c r="I369" s="34"/>
      <c r="J369" s="11"/>
    </row>
    <row r="370" spans="1:10" ht="18" customHeight="1">
      <c r="A370" s="19"/>
      <c r="B370" s="19"/>
      <c r="C370" s="19"/>
      <c r="D370" s="19"/>
      <c r="E370" s="19"/>
      <c r="F370" s="19"/>
      <c r="G370" s="19"/>
      <c r="H370" s="19"/>
      <c r="I370" s="33"/>
      <c r="J370" s="19"/>
    </row>
    <row r="371" spans="1:10" ht="18" customHeight="1">
      <c r="A371" s="11"/>
      <c r="B371" s="11"/>
      <c r="C371" s="11"/>
      <c r="D371" s="11"/>
      <c r="E371" s="11"/>
      <c r="F371" s="11"/>
      <c r="G371" s="11"/>
      <c r="H371" s="11"/>
      <c r="I371" s="34"/>
      <c r="J371" s="11"/>
    </row>
    <row r="372" spans="1:10" ht="18" customHeight="1">
      <c r="A372" s="19"/>
      <c r="B372" s="19"/>
      <c r="C372" s="19"/>
      <c r="D372" s="19"/>
      <c r="E372" s="19"/>
      <c r="F372" s="19"/>
      <c r="G372" s="19"/>
      <c r="H372" s="19"/>
      <c r="I372" s="33"/>
      <c r="J372" s="19"/>
    </row>
    <row r="373" spans="1:10" ht="18" customHeight="1">
      <c r="A373" s="11"/>
      <c r="B373" s="11"/>
      <c r="C373" s="11"/>
      <c r="D373" s="11"/>
      <c r="E373" s="11"/>
      <c r="F373" s="11"/>
      <c r="G373" s="11"/>
      <c r="H373" s="11"/>
      <c r="I373" s="34"/>
      <c r="J373" s="11"/>
    </row>
    <row r="374" spans="1:10" ht="18" customHeight="1">
      <c r="A374" s="19"/>
      <c r="B374" s="19"/>
      <c r="C374" s="19"/>
      <c r="D374" s="19"/>
      <c r="E374" s="19"/>
      <c r="F374" s="19"/>
      <c r="G374" s="19"/>
      <c r="H374" s="19"/>
      <c r="I374" s="33"/>
      <c r="J374" s="19"/>
    </row>
    <row r="375" spans="1:10" ht="18" customHeight="1">
      <c r="A375" s="11"/>
      <c r="B375" s="11"/>
      <c r="C375" s="11"/>
      <c r="D375" s="11"/>
      <c r="E375" s="11"/>
      <c r="F375" s="11"/>
      <c r="G375" s="11"/>
      <c r="H375" s="11"/>
      <c r="I375" s="34"/>
      <c r="J375" s="11"/>
    </row>
    <row r="376" spans="1:10" ht="18" customHeight="1">
      <c r="A376" s="19"/>
      <c r="B376" s="19"/>
      <c r="C376" s="19"/>
      <c r="D376" s="19"/>
      <c r="E376" s="19"/>
      <c r="F376" s="19"/>
      <c r="G376" s="19"/>
      <c r="H376" s="19"/>
      <c r="I376" s="33"/>
      <c r="J376" s="19"/>
    </row>
    <row r="377" spans="1:10" ht="18" customHeight="1">
      <c r="A377" s="11"/>
      <c r="B377" s="11"/>
      <c r="C377" s="11"/>
      <c r="D377" s="11"/>
      <c r="E377" s="11"/>
      <c r="F377" s="11"/>
      <c r="G377" s="11"/>
      <c r="H377" s="11"/>
      <c r="I377" s="34"/>
      <c r="J377" s="11"/>
    </row>
    <row r="378" spans="1:10" ht="18" customHeight="1">
      <c r="A378" s="19"/>
      <c r="B378" s="19"/>
      <c r="C378" s="19"/>
      <c r="D378" s="19"/>
      <c r="E378" s="19"/>
      <c r="F378" s="19"/>
      <c r="G378" s="19"/>
      <c r="H378" s="19"/>
      <c r="I378" s="33"/>
      <c r="J378" s="19"/>
    </row>
    <row r="379" spans="1:10" ht="18" customHeight="1">
      <c r="A379" s="11"/>
      <c r="B379" s="11"/>
      <c r="C379" s="11"/>
      <c r="D379" s="11"/>
      <c r="E379" s="11"/>
      <c r="F379" s="11"/>
      <c r="G379" s="11"/>
      <c r="H379" s="11"/>
      <c r="I379" s="34"/>
      <c r="J379" s="11"/>
    </row>
    <row r="380" spans="1:10" ht="18" customHeight="1">
      <c r="A380" s="19"/>
      <c r="B380" s="19"/>
      <c r="C380" s="19"/>
      <c r="D380" s="19"/>
      <c r="E380" s="19"/>
      <c r="F380" s="19"/>
      <c r="G380" s="19"/>
      <c r="H380" s="19"/>
      <c r="I380" s="33"/>
      <c r="J380" s="19"/>
    </row>
    <row r="381" spans="1:10" ht="18" customHeight="1">
      <c r="A381" s="11"/>
      <c r="B381" s="11"/>
      <c r="C381" s="11"/>
      <c r="D381" s="11"/>
      <c r="E381" s="11"/>
      <c r="F381" s="11"/>
      <c r="G381" s="11"/>
      <c r="H381" s="11"/>
      <c r="I381" s="34"/>
      <c r="J381" s="11"/>
    </row>
    <row r="382" spans="1:10" ht="18" customHeight="1">
      <c r="A382" s="19"/>
      <c r="B382" s="19"/>
      <c r="C382" s="19"/>
      <c r="D382" s="19"/>
      <c r="E382" s="19"/>
      <c r="F382" s="19"/>
      <c r="G382" s="19"/>
      <c r="H382" s="19"/>
      <c r="I382" s="33"/>
      <c r="J382" s="19"/>
    </row>
    <row r="383" spans="1:10" ht="18" customHeight="1">
      <c r="A383" s="11"/>
      <c r="B383" s="11"/>
      <c r="C383" s="11"/>
      <c r="D383" s="11"/>
      <c r="E383" s="11"/>
      <c r="F383" s="11"/>
      <c r="G383" s="11"/>
      <c r="H383" s="11"/>
      <c r="I383" s="34"/>
      <c r="J383" s="11"/>
    </row>
    <row r="384" spans="1:10" ht="18" customHeight="1">
      <c r="A384" s="19"/>
      <c r="B384" s="19"/>
      <c r="C384" s="19"/>
      <c r="D384" s="19"/>
      <c r="E384" s="19"/>
      <c r="F384" s="19"/>
      <c r="G384" s="19"/>
      <c r="H384" s="19"/>
      <c r="I384" s="33"/>
      <c r="J384" s="19"/>
    </row>
    <row r="385" spans="1:10" ht="18" customHeight="1">
      <c r="A385" s="11"/>
      <c r="B385" s="11"/>
      <c r="C385" s="11"/>
      <c r="D385" s="11"/>
      <c r="E385" s="11"/>
      <c r="F385" s="11"/>
      <c r="G385" s="11"/>
      <c r="H385" s="11"/>
      <c r="I385" s="34"/>
      <c r="J385" s="11"/>
    </row>
    <row r="386" spans="1:10" ht="18" customHeight="1">
      <c r="A386" s="19"/>
      <c r="B386" s="19"/>
      <c r="C386" s="19"/>
      <c r="D386" s="19"/>
      <c r="E386" s="19"/>
      <c r="F386" s="19"/>
      <c r="G386" s="19"/>
      <c r="H386" s="19"/>
      <c r="I386" s="33"/>
      <c r="J386" s="19"/>
    </row>
    <row r="387" spans="1:10" ht="18" customHeight="1">
      <c r="A387" s="11"/>
      <c r="B387" s="11"/>
      <c r="C387" s="11"/>
      <c r="D387" s="11"/>
      <c r="E387" s="11"/>
      <c r="F387" s="11"/>
      <c r="G387" s="11"/>
      <c r="H387" s="11"/>
      <c r="I387" s="34"/>
      <c r="J387" s="11"/>
    </row>
    <row r="388" spans="1:10" ht="18" customHeight="1">
      <c r="A388" s="19"/>
      <c r="B388" s="19"/>
      <c r="C388" s="19"/>
      <c r="D388" s="19"/>
      <c r="E388" s="19"/>
      <c r="F388" s="19"/>
      <c r="G388" s="19"/>
      <c r="H388" s="19"/>
      <c r="I388" s="33"/>
      <c r="J388" s="19"/>
    </row>
    <row r="389" spans="1:10" ht="18" customHeight="1">
      <c r="A389" s="11"/>
      <c r="B389" s="11"/>
      <c r="C389" s="11"/>
      <c r="D389" s="11"/>
      <c r="E389" s="11"/>
      <c r="F389" s="11"/>
      <c r="G389" s="11"/>
      <c r="H389" s="11"/>
      <c r="I389" s="34"/>
      <c r="J389" s="11"/>
    </row>
    <row r="390" spans="1:10" ht="18" customHeight="1">
      <c r="A390" s="19"/>
      <c r="B390" s="19"/>
      <c r="C390" s="19"/>
      <c r="D390" s="19"/>
      <c r="E390" s="19"/>
      <c r="F390" s="19"/>
      <c r="G390" s="19"/>
      <c r="H390" s="19"/>
      <c r="I390" s="33"/>
      <c r="J390" s="19"/>
    </row>
    <row r="391" spans="1:10" ht="18" customHeight="1">
      <c r="A391" s="11"/>
      <c r="B391" s="11"/>
      <c r="C391" s="11"/>
      <c r="D391" s="11"/>
      <c r="E391" s="11"/>
      <c r="F391" s="11"/>
      <c r="G391" s="11"/>
      <c r="H391" s="11"/>
      <c r="I391" s="34"/>
      <c r="J391" s="11"/>
    </row>
    <row r="392" spans="1:10" ht="18" customHeight="1">
      <c r="A392" s="19"/>
      <c r="B392" s="19"/>
      <c r="C392" s="19"/>
      <c r="D392" s="19"/>
      <c r="E392" s="19"/>
      <c r="F392" s="19"/>
      <c r="G392" s="19"/>
      <c r="H392" s="19"/>
      <c r="I392" s="33"/>
      <c r="J392" s="19"/>
    </row>
    <row r="393" spans="1:10" ht="18" customHeight="1">
      <c r="A393" s="11"/>
      <c r="B393" s="11"/>
      <c r="C393" s="11"/>
      <c r="D393" s="11"/>
      <c r="E393" s="11"/>
      <c r="F393" s="11"/>
      <c r="G393" s="11"/>
      <c r="H393" s="11"/>
      <c r="I393" s="34"/>
      <c r="J393" s="11"/>
    </row>
    <row r="394" spans="1:10" ht="18" customHeight="1">
      <c r="A394" s="19"/>
      <c r="B394" s="19"/>
      <c r="C394" s="19"/>
      <c r="D394" s="19"/>
      <c r="E394" s="19"/>
      <c r="F394" s="19"/>
      <c r="G394" s="19"/>
      <c r="H394" s="19"/>
      <c r="I394" s="33"/>
      <c r="J394" s="19"/>
    </row>
    <row r="395" spans="1:10" ht="18" customHeight="1">
      <c r="A395" s="11"/>
      <c r="B395" s="11"/>
      <c r="C395" s="11"/>
      <c r="D395" s="11"/>
      <c r="E395" s="11"/>
      <c r="F395" s="11"/>
      <c r="G395" s="11"/>
      <c r="H395" s="11"/>
      <c r="I395" s="34"/>
      <c r="J395" s="11"/>
    </row>
    <row r="396" spans="1:10" ht="18" customHeight="1">
      <c r="A396" s="19"/>
      <c r="B396" s="19"/>
      <c r="C396" s="19"/>
      <c r="D396" s="19"/>
      <c r="E396" s="19"/>
      <c r="F396" s="19"/>
      <c r="G396" s="19"/>
      <c r="H396" s="19"/>
      <c r="I396" s="33"/>
      <c r="J396" s="19"/>
    </row>
    <row r="397" spans="1:10" ht="18" customHeight="1">
      <c r="A397" s="11"/>
      <c r="B397" s="11"/>
      <c r="C397" s="11"/>
      <c r="D397" s="11"/>
      <c r="E397" s="11"/>
      <c r="F397" s="11"/>
      <c r="G397" s="11"/>
      <c r="H397" s="11"/>
      <c r="I397" s="34"/>
      <c r="J397" s="11"/>
    </row>
    <row r="398" spans="1:10" ht="18" customHeight="1">
      <c r="A398" s="19"/>
      <c r="B398" s="19"/>
      <c r="C398" s="19"/>
      <c r="D398" s="19"/>
      <c r="E398" s="19"/>
      <c r="F398" s="19"/>
      <c r="G398" s="19"/>
      <c r="H398" s="19"/>
      <c r="I398" s="33"/>
      <c r="J398" s="19"/>
    </row>
    <row r="399" spans="1:10" ht="18" customHeight="1">
      <c r="A399" s="11"/>
      <c r="B399" s="11"/>
      <c r="C399" s="11"/>
      <c r="D399" s="11"/>
      <c r="E399" s="11"/>
      <c r="F399" s="11"/>
      <c r="G399" s="11"/>
      <c r="H399" s="11"/>
      <c r="I399" s="34"/>
      <c r="J399" s="11"/>
    </row>
    <row r="400" spans="1:10" ht="18" customHeight="1">
      <c r="A400" s="19"/>
      <c r="B400" s="19"/>
      <c r="C400" s="19"/>
      <c r="D400" s="19"/>
      <c r="E400" s="19"/>
      <c r="F400" s="19"/>
      <c r="G400" s="19"/>
      <c r="H400" s="19"/>
      <c r="I400" s="33"/>
      <c r="J400" s="19"/>
    </row>
    <row r="401" spans="1:10" ht="18" customHeight="1">
      <c r="A401" s="11"/>
      <c r="B401" s="11"/>
      <c r="C401" s="11"/>
      <c r="D401" s="11"/>
      <c r="E401" s="11"/>
      <c r="F401" s="11"/>
      <c r="G401" s="11"/>
      <c r="H401" s="11"/>
      <c r="I401" s="34"/>
      <c r="J401" s="11"/>
    </row>
    <row r="402" spans="1:10" ht="18" customHeight="1">
      <c r="A402" s="19"/>
      <c r="B402" s="19"/>
      <c r="C402" s="19"/>
      <c r="D402" s="19"/>
      <c r="E402" s="19"/>
      <c r="F402" s="19"/>
      <c r="G402" s="19"/>
      <c r="H402" s="19"/>
      <c r="I402" s="33"/>
      <c r="J402" s="19"/>
    </row>
    <row r="403" spans="1:10" ht="18" customHeight="1">
      <c r="A403" s="11"/>
      <c r="B403" s="11"/>
      <c r="C403" s="11"/>
      <c r="D403" s="11"/>
      <c r="E403" s="11"/>
      <c r="F403" s="11"/>
      <c r="G403" s="11"/>
      <c r="H403" s="11"/>
      <c r="I403" s="34"/>
      <c r="J403" s="11"/>
    </row>
    <row r="404" spans="1:10" ht="18" customHeight="1">
      <c r="A404" s="19"/>
      <c r="B404" s="19"/>
      <c r="C404" s="19"/>
      <c r="D404" s="19"/>
      <c r="E404" s="19"/>
      <c r="F404" s="19"/>
      <c r="G404" s="19"/>
      <c r="H404" s="19"/>
      <c r="I404" s="33"/>
      <c r="J404" s="19"/>
    </row>
    <row r="405" spans="1:10" ht="18" customHeight="1">
      <c r="A405" s="11"/>
      <c r="B405" s="11"/>
      <c r="C405" s="11"/>
      <c r="D405" s="11"/>
      <c r="E405" s="11"/>
      <c r="F405" s="11"/>
      <c r="G405" s="11"/>
      <c r="H405" s="11"/>
      <c r="I405" s="34"/>
      <c r="J405" s="11"/>
    </row>
    <row r="406" spans="1:10" ht="18" customHeight="1">
      <c r="A406" s="19"/>
      <c r="B406" s="19"/>
      <c r="C406" s="19"/>
      <c r="D406" s="19"/>
      <c r="E406" s="19"/>
      <c r="F406" s="19"/>
      <c r="G406" s="19"/>
      <c r="H406" s="19"/>
      <c r="I406" s="33"/>
      <c r="J406" s="19"/>
    </row>
    <row r="407" spans="1:10" ht="18" customHeight="1">
      <c r="A407" s="11"/>
      <c r="B407" s="11"/>
      <c r="C407" s="11"/>
      <c r="D407" s="11"/>
      <c r="E407" s="11"/>
      <c r="F407" s="11"/>
      <c r="G407" s="11"/>
      <c r="H407" s="11"/>
      <c r="I407" s="34"/>
      <c r="J407" s="11"/>
    </row>
    <row r="408" spans="1:10" ht="18" customHeight="1">
      <c r="A408" s="19"/>
      <c r="B408" s="19"/>
      <c r="C408" s="19"/>
      <c r="D408" s="19"/>
      <c r="E408" s="19"/>
      <c r="F408" s="19"/>
      <c r="G408" s="19"/>
      <c r="H408" s="19"/>
      <c r="I408" s="33"/>
      <c r="J408" s="19"/>
    </row>
    <row r="409" spans="1:10" ht="18" customHeight="1">
      <c r="A409" s="11"/>
      <c r="B409" s="11"/>
      <c r="C409" s="11"/>
      <c r="D409" s="11"/>
      <c r="E409" s="11"/>
      <c r="F409" s="11"/>
      <c r="G409" s="11"/>
      <c r="H409" s="11"/>
      <c r="I409" s="34"/>
      <c r="J409" s="11"/>
    </row>
    <row r="410" spans="1:10" ht="18" customHeight="1">
      <c r="A410" s="19"/>
      <c r="B410" s="19"/>
      <c r="C410" s="19"/>
      <c r="D410" s="19"/>
      <c r="E410" s="19"/>
      <c r="F410" s="19"/>
      <c r="G410" s="19"/>
      <c r="H410" s="19"/>
      <c r="I410" s="33"/>
      <c r="J410" s="19"/>
    </row>
    <row r="411" spans="1:10" ht="18" customHeight="1">
      <c r="A411" s="11"/>
      <c r="B411" s="11"/>
      <c r="C411" s="11"/>
      <c r="D411" s="11"/>
      <c r="E411" s="11"/>
      <c r="F411" s="11"/>
      <c r="G411" s="11"/>
      <c r="H411" s="11"/>
      <c r="I411" s="34"/>
      <c r="J411" s="11"/>
    </row>
    <row r="412" spans="1:10" ht="18" customHeight="1">
      <c r="A412" s="19"/>
      <c r="B412" s="19"/>
      <c r="C412" s="19"/>
      <c r="D412" s="19"/>
      <c r="E412" s="19"/>
      <c r="F412" s="19"/>
      <c r="G412" s="19"/>
      <c r="H412" s="19"/>
      <c r="I412" s="33"/>
      <c r="J412" s="19"/>
    </row>
    <row r="413" spans="1:10" ht="18" customHeight="1">
      <c r="A413" s="11"/>
      <c r="B413" s="11"/>
      <c r="C413" s="11"/>
      <c r="D413" s="11"/>
      <c r="E413" s="11"/>
      <c r="F413" s="11"/>
      <c r="G413" s="11"/>
      <c r="H413" s="11"/>
      <c r="I413" s="34"/>
      <c r="J413" s="11"/>
    </row>
    <row r="414" spans="1:10" ht="18" customHeight="1">
      <c r="A414" s="19"/>
      <c r="B414" s="19"/>
      <c r="C414" s="19"/>
      <c r="D414" s="19"/>
      <c r="E414" s="19"/>
      <c r="F414" s="19"/>
      <c r="G414" s="19"/>
      <c r="H414" s="19"/>
      <c r="I414" s="33"/>
      <c r="J414" s="19"/>
    </row>
    <row r="415" spans="1:10" ht="18" customHeight="1">
      <c r="A415" s="11"/>
      <c r="B415" s="11"/>
      <c r="C415" s="11"/>
      <c r="D415" s="11"/>
      <c r="E415" s="11"/>
      <c r="F415" s="11"/>
      <c r="G415" s="11"/>
      <c r="H415" s="11"/>
      <c r="I415" s="34"/>
      <c r="J415" s="11"/>
    </row>
    <row r="416" spans="1:10" ht="18" customHeight="1">
      <c r="A416" s="19"/>
      <c r="B416" s="19"/>
      <c r="C416" s="19"/>
      <c r="D416" s="19"/>
      <c r="E416" s="19"/>
      <c r="F416" s="19"/>
      <c r="G416" s="19"/>
      <c r="H416" s="19"/>
      <c r="I416" s="33"/>
      <c r="J416" s="19"/>
    </row>
    <row r="417" spans="1:10" ht="18" customHeight="1">
      <c r="A417" s="11"/>
      <c r="B417" s="11"/>
      <c r="C417" s="11"/>
      <c r="D417" s="11"/>
      <c r="E417" s="11"/>
      <c r="F417" s="11"/>
      <c r="G417" s="11"/>
      <c r="H417" s="11"/>
      <c r="I417" s="34"/>
      <c r="J417" s="11"/>
    </row>
    <row r="418" spans="1:10" ht="18" customHeight="1">
      <c r="A418" s="19"/>
      <c r="B418" s="19"/>
      <c r="C418" s="19"/>
      <c r="D418" s="19"/>
      <c r="E418" s="19"/>
      <c r="F418" s="19"/>
      <c r="G418" s="19"/>
      <c r="H418" s="19"/>
      <c r="I418" s="33"/>
      <c r="J418" s="19"/>
    </row>
    <row r="419" spans="1:10" ht="18" customHeight="1">
      <c r="A419" s="11"/>
      <c r="B419" s="11"/>
      <c r="C419" s="11"/>
      <c r="D419" s="11"/>
      <c r="E419" s="11"/>
      <c r="F419" s="11"/>
      <c r="G419" s="11"/>
      <c r="H419" s="11"/>
      <c r="I419" s="34"/>
      <c r="J419" s="11"/>
    </row>
    <row r="420" spans="1:10" ht="18" customHeight="1">
      <c r="A420" s="19"/>
      <c r="B420" s="19"/>
      <c r="C420" s="19"/>
      <c r="D420" s="19"/>
      <c r="E420" s="19"/>
      <c r="F420" s="19"/>
      <c r="G420" s="19"/>
      <c r="H420" s="19"/>
      <c r="I420" s="33"/>
      <c r="J420" s="19"/>
    </row>
    <row r="421" spans="1:10" ht="18" customHeight="1">
      <c r="A421" s="11"/>
      <c r="B421" s="11"/>
      <c r="C421" s="11"/>
      <c r="D421" s="11"/>
      <c r="E421" s="11"/>
      <c r="F421" s="11"/>
      <c r="G421" s="11"/>
      <c r="H421" s="11"/>
      <c r="I421" s="34"/>
      <c r="J421" s="11"/>
    </row>
    <row r="422" spans="1:10" ht="18" customHeight="1">
      <c r="A422" s="19"/>
      <c r="B422" s="19"/>
      <c r="C422" s="19"/>
      <c r="D422" s="19"/>
      <c r="E422" s="19"/>
      <c r="F422" s="19"/>
      <c r="G422" s="19"/>
      <c r="H422" s="19"/>
      <c r="I422" s="33"/>
      <c r="J422" s="19"/>
    </row>
    <row r="423" spans="1:10" ht="18" customHeight="1">
      <c r="A423" s="11"/>
      <c r="B423" s="11"/>
      <c r="C423" s="11"/>
      <c r="D423" s="11"/>
      <c r="E423" s="11"/>
      <c r="F423" s="11"/>
      <c r="G423" s="11"/>
      <c r="H423" s="11"/>
      <c r="I423" s="34"/>
      <c r="J423" s="11"/>
    </row>
    <row r="424" spans="1:10" ht="18" customHeight="1">
      <c r="A424" s="19"/>
      <c r="B424" s="19"/>
      <c r="C424" s="19"/>
      <c r="D424" s="19"/>
      <c r="E424" s="19"/>
      <c r="F424" s="19"/>
      <c r="G424" s="19"/>
      <c r="H424" s="19"/>
      <c r="I424" s="33"/>
      <c r="J424" s="19"/>
    </row>
    <row r="425" spans="1:10" ht="18" customHeight="1">
      <c r="A425" s="11"/>
      <c r="B425" s="11"/>
      <c r="C425" s="11"/>
      <c r="D425" s="11"/>
      <c r="E425" s="11"/>
      <c r="F425" s="11"/>
      <c r="G425" s="11"/>
      <c r="H425" s="11"/>
      <c r="I425" s="34"/>
      <c r="J425" s="11"/>
    </row>
    <row r="426" spans="1:10" ht="18" customHeight="1">
      <c r="A426" s="19"/>
      <c r="B426" s="19"/>
      <c r="C426" s="19"/>
      <c r="D426" s="19"/>
      <c r="E426" s="19"/>
      <c r="F426" s="19"/>
      <c r="G426" s="19"/>
      <c r="H426" s="19"/>
      <c r="I426" s="33"/>
      <c r="J426" s="19"/>
    </row>
    <row r="427" spans="1:10" ht="18" customHeight="1">
      <c r="A427" s="11"/>
      <c r="B427" s="11"/>
      <c r="C427" s="11"/>
      <c r="D427" s="11"/>
      <c r="E427" s="11"/>
      <c r="F427" s="11"/>
      <c r="G427" s="11"/>
      <c r="H427" s="11"/>
      <c r="I427" s="34"/>
      <c r="J427" s="11"/>
    </row>
    <row r="428" spans="1:10" ht="18" customHeight="1">
      <c r="A428" s="19"/>
      <c r="B428" s="19"/>
      <c r="C428" s="19"/>
      <c r="D428" s="19"/>
      <c r="E428" s="19"/>
      <c r="F428" s="19"/>
      <c r="G428" s="19"/>
      <c r="H428" s="19"/>
      <c r="I428" s="33"/>
      <c r="J428" s="19"/>
    </row>
    <row r="429" spans="1:10" ht="18" customHeight="1">
      <c r="A429" s="11"/>
      <c r="B429" s="11"/>
      <c r="C429" s="11"/>
      <c r="D429" s="11"/>
      <c r="E429" s="11"/>
      <c r="F429" s="11"/>
      <c r="G429" s="11"/>
      <c r="H429" s="11"/>
      <c r="I429" s="34"/>
      <c r="J429" s="11"/>
    </row>
    <row r="430" spans="1:10" ht="18" customHeight="1">
      <c r="A430" s="19"/>
      <c r="B430" s="19"/>
      <c r="C430" s="19"/>
      <c r="D430" s="19"/>
      <c r="E430" s="19"/>
      <c r="F430" s="19"/>
      <c r="G430" s="19"/>
      <c r="H430" s="19"/>
      <c r="I430" s="33"/>
      <c r="J430" s="19"/>
    </row>
    <row r="431" spans="1:10" ht="18" customHeight="1">
      <c r="A431" s="11"/>
      <c r="B431" s="11"/>
      <c r="C431" s="11"/>
      <c r="D431" s="11"/>
      <c r="E431" s="11"/>
      <c r="F431" s="11"/>
      <c r="G431" s="11"/>
      <c r="H431" s="11"/>
      <c r="I431" s="34"/>
      <c r="J431" s="11"/>
    </row>
    <row r="432" spans="1:10" ht="18" customHeight="1">
      <c r="A432" s="19"/>
      <c r="B432" s="19"/>
      <c r="C432" s="19"/>
      <c r="D432" s="19"/>
      <c r="E432" s="19"/>
      <c r="F432" s="19"/>
      <c r="G432" s="19"/>
      <c r="H432" s="19"/>
      <c r="I432" s="33"/>
      <c r="J432" s="19"/>
    </row>
    <row r="433" spans="1:10" ht="18" customHeight="1">
      <c r="A433" s="11"/>
      <c r="B433" s="11"/>
      <c r="C433" s="11"/>
      <c r="D433" s="11"/>
      <c r="E433" s="11"/>
      <c r="F433" s="11"/>
      <c r="G433" s="11"/>
      <c r="H433" s="11"/>
      <c r="I433" s="34"/>
      <c r="J433" s="11"/>
    </row>
    <row r="434" spans="1:10" ht="18" customHeight="1">
      <c r="A434" s="19"/>
      <c r="B434" s="19"/>
      <c r="C434" s="19"/>
      <c r="D434" s="19"/>
      <c r="E434" s="19"/>
      <c r="F434" s="19"/>
      <c r="G434" s="19"/>
      <c r="H434" s="19"/>
      <c r="I434" s="33"/>
      <c r="J434" s="19"/>
    </row>
    <row r="435" spans="1:10" ht="18" customHeight="1">
      <c r="A435" s="11"/>
      <c r="B435" s="11"/>
      <c r="C435" s="11"/>
      <c r="D435" s="11"/>
      <c r="E435" s="11"/>
      <c r="F435" s="11"/>
      <c r="G435" s="11"/>
      <c r="H435" s="11"/>
      <c r="I435" s="34"/>
      <c r="J435" s="11"/>
    </row>
    <row r="436" spans="1:10" ht="18" customHeight="1">
      <c r="A436" s="19"/>
      <c r="B436" s="19"/>
      <c r="C436" s="19"/>
      <c r="D436" s="19"/>
      <c r="E436" s="19"/>
      <c r="F436" s="19"/>
      <c r="G436" s="19"/>
      <c r="H436" s="19"/>
      <c r="I436" s="33"/>
      <c r="J436" s="19"/>
    </row>
    <row r="437" spans="1:10" ht="18" customHeight="1">
      <c r="A437" s="11"/>
      <c r="B437" s="11"/>
      <c r="C437" s="11"/>
      <c r="D437" s="11"/>
      <c r="E437" s="11"/>
      <c r="F437" s="11"/>
      <c r="G437" s="11"/>
      <c r="H437" s="11"/>
      <c r="I437" s="34"/>
      <c r="J437" s="11"/>
    </row>
    <row r="438" spans="1:10" ht="18" customHeight="1">
      <c r="A438" s="19"/>
      <c r="B438" s="19"/>
      <c r="C438" s="19"/>
      <c r="D438" s="19"/>
      <c r="E438" s="19"/>
      <c r="F438" s="19"/>
      <c r="G438" s="19"/>
      <c r="H438" s="19"/>
      <c r="I438" s="33"/>
      <c r="J438" s="19"/>
    </row>
    <row r="439" spans="1:10" ht="18" customHeight="1">
      <c r="A439" s="11"/>
      <c r="B439" s="11"/>
      <c r="C439" s="11"/>
      <c r="D439" s="11"/>
      <c r="E439" s="11"/>
      <c r="F439" s="11"/>
      <c r="G439" s="11"/>
      <c r="H439" s="11"/>
      <c r="I439" s="34"/>
      <c r="J439" s="11"/>
    </row>
    <row r="440" spans="1:10" ht="18" customHeight="1">
      <c r="A440" s="19"/>
      <c r="B440" s="19"/>
      <c r="C440" s="19"/>
      <c r="D440" s="19"/>
      <c r="E440" s="19"/>
      <c r="F440" s="19"/>
      <c r="G440" s="19"/>
      <c r="H440" s="19"/>
      <c r="I440" s="33"/>
      <c r="J440" s="19"/>
    </row>
    <row r="441" spans="1:10" ht="18" customHeight="1">
      <c r="A441" s="11"/>
      <c r="B441" s="11"/>
      <c r="C441" s="11"/>
      <c r="D441" s="11"/>
      <c r="E441" s="11"/>
      <c r="F441" s="11"/>
      <c r="G441" s="11"/>
      <c r="H441" s="11"/>
      <c r="I441" s="34"/>
      <c r="J441" s="11"/>
    </row>
    <row r="442" spans="1:10" ht="18" customHeight="1">
      <c r="A442" s="19"/>
      <c r="B442" s="19"/>
      <c r="C442" s="19"/>
      <c r="D442" s="19"/>
      <c r="E442" s="19"/>
      <c r="F442" s="19"/>
      <c r="G442" s="19"/>
      <c r="H442" s="19"/>
      <c r="I442" s="33"/>
      <c r="J442" s="19"/>
    </row>
    <row r="443" spans="1:10" ht="18" customHeight="1">
      <c r="A443" s="11"/>
      <c r="B443" s="11"/>
      <c r="C443" s="11"/>
      <c r="D443" s="11"/>
      <c r="E443" s="11"/>
      <c r="F443" s="11"/>
      <c r="G443" s="11"/>
      <c r="H443" s="11"/>
      <c r="I443" s="34"/>
      <c r="J443" s="11"/>
    </row>
    <row r="444" spans="1:10" ht="18" customHeight="1">
      <c r="A444" s="19"/>
      <c r="B444" s="19"/>
      <c r="C444" s="19"/>
      <c r="D444" s="19"/>
      <c r="E444" s="19"/>
      <c r="F444" s="19"/>
      <c r="G444" s="19"/>
      <c r="H444" s="19"/>
      <c r="I444" s="33"/>
      <c r="J444" s="19"/>
    </row>
    <row r="445" spans="1:10" ht="18" customHeight="1">
      <c r="A445" s="11"/>
      <c r="B445" s="11"/>
      <c r="C445" s="11"/>
      <c r="D445" s="11"/>
      <c r="E445" s="11"/>
      <c r="F445" s="11"/>
      <c r="G445" s="11"/>
      <c r="H445" s="11"/>
      <c r="I445" s="34"/>
      <c r="J445" s="11"/>
    </row>
    <row r="446" spans="1:10" ht="18" customHeight="1">
      <c r="A446" s="19"/>
      <c r="B446" s="19"/>
      <c r="C446" s="19"/>
      <c r="D446" s="19"/>
      <c r="E446" s="19"/>
      <c r="F446" s="19"/>
      <c r="G446" s="19"/>
      <c r="H446" s="19"/>
      <c r="I446" s="33"/>
      <c r="J446" s="19"/>
    </row>
    <row r="447" spans="1:10" ht="18" customHeight="1">
      <c r="A447" s="11"/>
      <c r="B447" s="11"/>
      <c r="C447" s="11"/>
      <c r="D447" s="11"/>
      <c r="E447" s="11"/>
      <c r="F447" s="11"/>
      <c r="G447" s="11"/>
      <c r="H447" s="11"/>
      <c r="I447" s="34"/>
      <c r="J447" s="11"/>
    </row>
    <row r="448" spans="1:10" ht="18" customHeight="1">
      <c r="A448" s="19"/>
      <c r="B448" s="19"/>
      <c r="C448" s="19"/>
      <c r="D448" s="19"/>
      <c r="E448" s="19"/>
      <c r="F448" s="19"/>
      <c r="G448" s="19"/>
      <c r="H448" s="19"/>
      <c r="I448" s="33"/>
      <c r="J448" s="19"/>
    </row>
    <row r="449" spans="1:10" ht="18" customHeight="1">
      <c r="A449" s="11"/>
      <c r="B449" s="11"/>
      <c r="C449" s="11"/>
      <c r="D449" s="11"/>
      <c r="E449" s="11"/>
      <c r="F449" s="11"/>
      <c r="G449" s="11"/>
      <c r="H449" s="11"/>
      <c r="I449" s="34"/>
      <c r="J449" s="11"/>
    </row>
    <row r="450" spans="1:10" ht="18" customHeight="1">
      <c r="A450" s="19"/>
      <c r="B450" s="19"/>
      <c r="C450" s="19"/>
      <c r="D450" s="19"/>
      <c r="E450" s="19"/>
      <c r="F450" s="19"/>
      <c r="G450" s="19"/>
      <c r="H450" s="19"/>
      <c r="I450" s="33"/>
      <c r="J450" s="19"/>
    </row>
    <row r="451" spans="1:10" ht="18" customHeight="1">
      <c r="A451" s="11"/>
      <c r="B451" s="11"/>
      <c r="C451" s="11"/>
      <c r="D451" s="11"/>
      <c r="E451" s="11"/>
      <c r="F451" s="11"/>
      <c r="G451" s="11"/>
      <c r="H451" s="11"/>
      <c r="I451" s="34"/>
      <c r="J451" s="11"/>
    </row>
    <row r="452" spans="1:10" ht="18" customHeight="1">
      <c r="A452" s="19"/>
      <c r="B452" s="19"/>
      <c r="C452" s="19"/>
      <c r="D452" s="19"/>
      <c r="E452" s="19"/>
      <c r="F452" s="19"/>
      <c r="G452" s="19"/>
      <c r="H452" s="19"/>
      <c r="I452" s="33"/>
      <c r="J452" s="19"/>
    </row>
    <row r="453" spans="1:10" ht="18" customHeight="1">
      <c r="A453" s="11"/>
      <c r="B453" s="11"/>
      <c r="C453" s="11"/>
      <c r="D453" s="11"/>
      <c r="E453" s="11"/>
      <c r="F453" s="11"/>
      <c r="G453" s="11"/>
      <c r="H453" s="11"/>
      <c r="I453" s="34"/>
      <c r="J453" s="11"/>
    </row>
    <row r="454" spans="1:10" ht="18" customHeight="1">
      <c r="A454" s="19"/>
      <c r="B454" s="19"/>
      <c r="C454" s="19"/>
      <c r="D454" s="19"/>
      <c r="E454" s="19"/>
      <c r="F454" s="19"/>
      <c r="G454" s="19"/>
      <c r="H454" s="19"/>
      <c r="I454" s="33"/>
      <c r="J454" s="19"/>
    </row>
    <row r="455" spans="1:10" ht="18" customHeight="1">
      <c r="A455" s="11"/>
      <c r="B455" s="11"/>
      <c r="C455" s="11"/>
      <c r="D455" s="11"/>
      <c r="E455" s="11"/>
      <c r="F455" s="11"/>
      <c r="G455" s="11"/>
      <c r="H455" s="11"/>
      <c r="I455" s="34"/>
      <c r="J455" s="11"/>
    </row>
    <row r="456" spans="1:10" ht="18" customHeight="1">
      <c r="A456" s="19"/>
      <c r="B456" s="19"/>
      <c r="C456" s="19"/>
      <c r="D456" s="19"/>
      <c r="E456" s="19"/>
      <c r="F456" s="19"/>
      <c r="G456" s="19"/>
      <c r="H456" s="19"/>
      <c r="I456" s="33"/>
      <c r="J456" s="19"/>
    </row>
    <row r="457" spans="1:10" ht="18" customHeight="1">
      <c r="A457" s="11"/>
      <c r="B457" s="11"/>
      <c r="C457" s="11"/>
      <c r="D457" s="11"/>
      <c r="E457" s="11"/>
      <c r="F457" s="11"/>
      <c r="G457" s="11"/>
      <c r="H457" s="11"/>
      <c r="I457" s="34"/>
      <c r="J457" s="11"/>
    </row>
    <row r="458" spans="1:10" ht="18" customHeight="1">
      <c r="A458" s="19"/>
      <c r="B458" s="19"/>
      <c r="C458" s="19"/>
      <c r="D458" s="19"/>
      <c r="E458" s="19"/>
      <c r="F458" s="19"/>
      <c r="G458" s="19"/>
      <c r="H458" s="19"/>
      <c r="I458" s="33"/>
      <c r="J458" s="19"/>
    </row>
    <row r="459" spans="1:10" ht="18" customHeight="1">
      <c r="A459" s="11"/>
      <c r="B459" s="11"/>
      <c r="C459" s="11"/>
      <c r="D459" s="11"/>
      <c r="E459" s="11"/>
      <c r="F459" s="11"/>
      <c r="G459" s="11"/>
      <c r="H459" s="11"/>
      <c r="I459" s="34"/>
      <c r="J459" s="11"/>
    </row>
    <row r="460" spans="1:10" ht="18" customHeight="1">
      <c r="A460" s="19"/>
      <c r="B460" s="19"/>
      <c r="C460" s="19"/>
      <c r="D460" s="19"/>
      <c r="E460" s="19"/>
      <c r="F460" s="19"/>
      <c r="G460" s="19"/>
      <c r="H460" s="19"/>
      <c r="I460" s="33"/>
      <c r="J460" s="19"/>
    </row>
    <row r="461" spans="1:10" ht="18" customHeight="1">
      <c r="A461" s="11"/>
      <c r="B461" s="11"/>
      <c r="C461" s="11"/>
      <c r="D461" s="11"/>
      <c r="E461" s="11"/>
      <c r="F461" s="11"/>
      <c r="G461" s="11"/>
      <c r="H461" s="11"/>
      <c r="I461" s="34"/>
      <c r="J461" s="11"/>
    </row>
    <row r="462" spans="1:10" ht="18" customHeight="1">
      <c r="A462" s="19"/>
      <c r="B462" s="19"/>
      <c r="C462" s="19"/>
      <c r="D462" s="19"/>
      <c r="E462" s="19"/>
      <c r="F462" s="19"/>
      <c r="G462" s="19"/>
      <c r="H462" s="19"/>
      <c r="I462" s="33"/>
      <c r="J462" s="19"/>
    </row>
    <row r="463" spans="1:10" ht="18" customHeight="1">
      <c r="A463" s="11"/>
      <c r="B463" s="11"/>
      <c r="C463" s="11"/>
      <c r="D463" s="11"/>
      <c r="E463" s="11"/>
      <c r="F463" s="11"/>
      <c r="G463" s="11"/>
      <c r="H463" s="11"/>
      <c r="I463" s="34"/>
      <c r="J463" s="11"/>
    </row>
    <row r="464" spans="1:10" ht="18" customHeight="1">
      <c r="A464" s="19"/>
      <c r="B464" s="19"/>
      <c r="C464" s="19"/>
      <c r="D464" s="19"/>
      <c r="E464" s="19"/>
      <c r="F464" s="19"/>
      <c r="G464" s="19"/>
      <c r="H464" s="19"/>
      <c r="I464" s="33"/>
      <c r="J464" s="19"/>
    </row>
    <row r="465" spans="1:10" ht="18" customHeight="1">
      <c r="A465" s="11"/>
      <c r="B465" s="11"/>
      <c r="C465" s="11"/>
      <c r="D465" s="11"/>
      <c r="E465" s="11"/>
      <c r="F465" s="11"/>
      <c r="G465" s="11"/>
      <c r="H465" s="11"/>
      <c r="I465" s="34"/>
      <c r="J465" s="11"/>
    </row>
    <row r="466" spans="1:10" ht="18" customHeight="1">
      <c r="A466" s="19"/>
      <c r="B466" s="19"/>
      <c r="C466" s="19"/>
      <c r="D466" s="19"/>
      <c r="E466" s="19"/>
      <c r="F466" s="19"/>
      <c r="G466" s="19"/>
      <c r="H466" s="19"/>
      <c r="I466" s="33"/>
      <c r="J466" s="19"/>
    </row>
    <row r="467" spans="1:10" ht="18" customHeight="1">
      <c r="A467" s="11"/>
      <c r="B467" s="11"/>
      <c r="C467" s="11"/>
      <c r="D467" s="11"/>
      <c r="E467" s="11"/>
      <c r="F467" s="11"/>
      <c r="G467" s="11"/>
      <c r="H467" s="11"/>
      <c r="I467" s="34"/>
      <c r="J467" s="11"/>
    </row>
    <row r="468" spans="1:10" ht="18" customHeight="1">
      <c r="A468" s="19"/>
      <c r="B468" s="19"/>
      <c r="C468" s="19"/>
      <c r="D468" s="19"/>
      <c r="E468" s="19"/>
      <c r="F468" s="19"/>
      <c r="G468" s="19"/>
      <c r="H468" s="19"/>
      <c r="I468" s="33"/>
      <c r="J468" s="19"/>
    </row>
    <row r="469" spans="1:10" ht="18" customHeight="1">
      <c r="A469" s="11"/>
      <c r="B469" s="11"/>
      <c r="C469" s="11"/>
      <c r="D469" s="11"/>
      <c r="E469" s="11"/>
      <c r="F469" s="11"/>
      <c r="G469" s="11"/>
      <c r="H469" s="11"/>
      <c r="I469" s="34"/>
      <c r="J469" s="11"/>
    </row>
    <row r="470" spans="1:10" ht="18" customHeight="1">
      <c r="A470" s="19"/>
      <c r="B470" s="19"/>
      <c r="C470" s="19"/>
      <c r="D470" s="19"/>
      <c r="E470" s="19"/>
      <c r="F470" s="19"/>
      <c r="G470" s="19"/>
      <c r="H470" s="19"/>
      <c r="I470" s="33"/>
      <c r="J470" s="19"/>
    </row>
    <row r="471" spans="1:10" ht="18" customHeight="1">
      <c r="A471" s="11"/>
      <c r="B471" s="11"/>
      <c r="C471" s="11"/>
      <c r="D471" s="11"/>
      <c r="E471" s="11"/>
      <c r="F471" s="11"/>
      <c r="G471" s="11"/>
      <c r="H471" s="11"/>
      <c r="I471" s="34"/>
      <c r="J471" s="11"/>
    </row>
    <row r="472" spans="1:10" ht="18" customHeight="1">
      <c r="A472" s="19"/>
      <c r="B472" s="19"/>
      <c r="C472" s="19"/>
      <c r="D472" s="19"/>
      <c r="E472" s="19"/>
      <c r="F472" s="19"/>
      <c r="G472" s="19"/>
      <c r="H472" s="19"/>
      <c r="I472" s="33"/>
      <c r="J472" s="19"/>
    </row>
    <row r="473" spans="1:10" ht="18" customHeight="1">
      <c r="A473" s="11"/>
      <c r="B473" s="11"/>
      <c r="C473" s="11"/>
      <c r="D473" s="11"/>
      <c r="E473" s="11"/>
      <c r="F473" s="11"/>
      <c r="G473" s="11"/>
      <c r="H473" s="11"/>
      <c r="I473" s="34"/>
      <c r="J473" s="11"/>
    </row>
    <row r="474" spans="1:10" ht="18" customHeight="1">
      <c r="A474" s="19"/>
      <c r="B474" s="19"/>
      <c r="C474" s="19"/>
      <c r="D474" s="19"/>
      <c r="E474" s="19"/>
      <c r="F474" s="19"/>
      <c r="G474" s="19"/>
      <c r="H474" s="19"/>
      <c r="I474" s="33"/>
      <c r="J474" s="19"/>
    </row>
    <row r="475" spans="1:10" ht="18" customHeight="1">
      <c r="A475" s="11"/>
      <c r="B475" s="11"/>
      <c r="C475" s="11"/>
      <c r="D475" s="11"/>
      <c r="E475" s="11"/>
      <c r="F475" s="11"/>
      <c r="G475" s="11"/>
      <c r="H475" s="11"/>
      <c r="I475" s="34"/>
      <c r="J475" s="11"/>
    </row>
    <row r="476" spans="1:10" ht="18" customHeight="1">
      <c r="A476" s="19"/>
      <c r="B476" s="19"/>
      <c r="C476" s="19"/>
      <c r="D476" s="19"/>
      <c r="E476" s="19"/>
      <c r="F476" s="19"/>
      <c r="G476" s="19"/>
      <c r="H476" s="19"/>
      <c r="I476" s="33"/>
      <c r="J476" s="19"/>
    </row>
    <row r="477" spans="1:10" ht="18" customHeight="1">
      <c r="A477" s="11"/>
      <c r="B477" s="11"/>
      <c r="C477" s="11"/>
      <c r="D477" s="11"/>
      <c r="E477" s="11"/>
      <c r="F477" s="11"/>
      <c r="G477" s="11"/>
      <c r="H477" s="11"/>
      <c r="I477" s="34"/>
      <c r="J477" s="11"/>
    </row>
    <row r="478" spans="1:10" ht="18" customHeight="1">
      <c r="A478" s="19"/>
      <c r="B478" s="19"/>
      <c r="C478" s="19"/>
      <c r="D478" s="19"/>
      <c r="E478" s="19"/>
      <c r="F478" s="19"/>
      <c r="G478" s="19"/>
      <c r="H478" s="19"/>
      <c r="I478" s="33"/>
      <c r="J478" s="19"/>
    </row>
    <row r="479" spans="1:10" ht="18" customHeight="1">
      <c r="A479" s="11"/>
      <c r="B479" s="11"/>
      <c r="C479" s="11"/>
      <c r="D479" s="11"/>
      <c r="E479" s="11"/>
      <c r="F479" s="11"/>
      <c r="G479" s="11"/>
      <c r="H479" s="11"/>
      <c r="I479" s="34"/>
      <c r="J479" s="11"/>
    </row>
    <row r="480" spans="1:10" ht="18" customHeight="1">
      <c r="A480" s="19"/>
      <c r="B480" s="19"/>
      <c r="C480" s="19"/>
      <c r="D480" s="19"/>
      <c r="E480" s="19"/>
      <c r="F480" s="19"/>
      <c r="G480" s="19"/>
      <c r="H480" s="19"/>
      <c r="I480" s="33"/>
      <c r="J480" s="19"/>
    </row>
    <row r="481" spans="1:10" ht="18" customHeight="1">
      <c r="A481" s="11"/>
      <c r="B481" s="11"/>
      <c r="C481" s="11"/>
      <c r="D481" s="11"/>
      <c r="E481" s="11"/>
      <c r="F481" s="11"/>
      <c r="G481" s="11"/>
      <c r="H481" s="11"/>
      <c r="I481" s="34"/>
      <c r="J481" s="11"/>
    </row>
    <row r="482" spans="1:10" ht="18" customHeight="1">
      <c r="A482" s="19"/>
      <c r="B482" s="19"/>
      <c r="C482" s="19"/>
      <c r="D482" s="19"/>
      <c r="E482" s="19"/>
      <c r="F482" s="19"/>
      <c r="G482" s="19"/>
      <c r="H482" s="19"/>
      <c r="I482" s="33"/>
      <c r="J482" s="19"/>
    </row>
    <row r="483" spans="1:10" ht="18" customHeight="1">
      <c r="A483" s="11"/>
      <c r="B483" s="11"/>
      <c r="C483" s="11"/>
      <c r="D483" s="11"/>
      <c r="E483" s="11"/>
      <c r="F483" s="11"/>
      <c r="G483" s="11"/>
      <c r="H483" s="11"/>
      <c r="I483" s="34"/>
      <c r="J483" s="11"/>
    </row>
    <row r="484" spans="1:10" ht="18" customHeight="1">
      <c r="A484" s="19"/>
      <c r="B484" s="19"/>
      <c r="C484" s="19"/>
      <c r="D484" s="19"/>
      <c r="E484" s="19"/>
      <c r="F484" s="19"/>
      <c r="G484" s="19"/>
      <c r="H484" s="19"/>
      <c r="I484" s="33"/>
      <c r="J484" s="19"/>
    </row>
    <row r="485" spans="1:10" ht="18" customHeight="1">
      <c r="A485" s="11"/>
      <c r="B485" s="11"/>
      <c r="C485" s="11"/>
      <c r="D485" s="11"/>
      <c r="E485" s="11"/>
      <c r="F485" s="11"/>
      <c r="G485" s="11"/>
      <c r="H485" s="11"/>
      <c r="I485" s="34"/>
      <c r="J485" s="11"/>
    </row>
    <row r="486" spans="1:10" ht="18" customHeight="1">
      <c r="A486" s="19"/>
      <c r="B486" s="19"/>
      <c r="C486" s="19"/>
      <c r="D486" s="19"/>
      <c r="E486" s="19"/>
      <c r="F486" s="19"/>
      <c r="G486" s="19"/>
      <c r="H486" s="19"/>
      <c r="I486" s="33"/>
      <c r="J486" s="19"/>
    </row>
    <row r="487" spans="1:10" ht="18" customHeight="1">
      <c r="A487" s="11"/>
      <c r="B487" s="11"/>
      <c r="C487" s="11"/>
      <c r="D487" s="11"/>
      <c r="E487" s="11"/>
      <c r="F487" s="11"/>
      <c r="G487" s="11"/>
      <c r="H487" s="11"/>
      <c r="I487" s="34"/>
      <c r="J487" s="11"/>
    </row>
    <row r="488" spans="1:10" ht="18" customHeight="1">
      <c r="A488" s="19"/>
      <c r="B488" s="19"/>
      <c r="C488" s="19"/>
      <c r="D488" s="19"/>
      <c r="E488" s="19"/>
      <c r="F488" s="19"/>
      <c r="G488" s="19"/>
      <c r="H488" s="19"/>
      <c r="I488" s="33"/>
      <c r="J488" s="19"/>
    </row>
    <row r="489" spans="1:10" ht="18" customHeight="1">
      <c r="A489" s="11"/>
      <c r="B489" s="11"/>
      <c r="C489" s="11"/>
      <c r="D489" s="11"/>
      <c r="E489" s="11"/>
      <c r="F489" s="11"/>
      <c r="G489" s="11"/>
      <c r="H489" s="11"/>
      <c r="I489" s="34"/>
      <c r="J489" s="11"/>
    </row>
    <row r="490" spans="1:10" ht="18" customHeight="1">
      <c r="A490" s="19"/>
      <c r="B490" s="19"/>
      <c r="C490" s="19"/>
      <c r="D490" s="19"/>
      <c r="E490" s="19"/>
      <c r="F490" s="19"/>
      <c r="G490" s="19"/>
      <c r="H490" s="19"/>
      <c r="I490" s="33"/>
      <c r="J490" s="19"/>
    </row>
    <row r="491" spans="1:10" ht="18" customHeight="1">
      <c r="A491" s="11"/>
      <c r="B491" s="11"/>
      <c r="C491" s="11"/>
      <c r="D491" s="11"/>
      <c r="E491" s="11"/>
      <c r="F491" s="11"/>
      <c r="G491" s="11"/>
      <c r="H491" s="11"/>
      <c r="I491" s="34"/>
      <c r="J491" s="11"/>
    </row>
    <row r="492" spans="1:10" ht="18" customHeight="1">
      <c r="A492" s="19"/>
      <c r="B492" s="19"/>
      <c r="C492" s="19"/>
      <c r="D492" s="19"/>
      <c r="E492" s="19"/>
      <c r="F492" s="19"/>
      <c r="G492" s="19"/>
      <c r="H492" s="19"/>
      <c r="I492" s="33"/>
      <c r="J492" s="19"/>
    </row>
    <row r="493" spans="1:10" ht="18" customHeight="1">
      <c r="A493" s="11"/>
      <c r="B493" s="11"/>
      <c r="C493" s="11"/>
      <c r="D493" s="11"/>
      <c r="E493" s="11"/>
      <c r="F493" s="11"/>
      <c r="G493" s="11"/>
      <c r="H493" s="11"/>
      <c r="I493" s="34"/>
      <c r="J493" s="11"/>
    </row>
    <row r="494" spans="1:10" ht="18" customHeight="1">
      <c r="A494" s="19"/>
      <c r="B494" s="19"/>
      <c r="C494" s="19"/>
      <c r="D494" s="19"/>
      <c r="E494" s="19"/>
      <c r="F494" s="19"/>
      <c r="G494" s="19"/>
      <c r="H494" s="19"/>
      <c r="I494" s="33"/>
      <c r="J494" s="19"/>
    </row>
    <row r="495" spans="1:10" ht="18" customHeight="1">
      <c r="A495" s="11"/>
      <c r="B495" s="11"/>
      <c r="C495" s="11"/>
      <c r="D495" s="11"/>
      <c r="E495" s="11"/>
      <c r="F495" s="11"/>
      <c r="G495" s="11"/>
      <c r="H495" s="11"/>
      <c r="I495" s="34"/>
      <c r="J495" s="11"/>
    </row>
    <row r="496" spans="1:10" ht="18" customHeight="1">
      <c r="A496" s="19"/>
      <c r="B496" s="19"/>
      <c r="C496" s="19"/>
      <c r="D496" s="19"/>
      <c r="E496" s="19"/>
      <c r="F496" s="19"/>
      <c r="G496" s="19"/>
      <c r="H496" s="19"/>
      <c r="I496" s="33"/>
      <c r="J496" s="19"/>
    </row>
    <row r="497" spans="1:10" ht="18" customHeight="1">
      <c r="A497" s="11"/>
      <c r="B497" s="11"/>
      <c r="C497" s="11"/>
      <c r="D497" s="11"/>
      <c r="E497" s="11"/>
      <c r="F497" s="11"/>
      <c r="G497" s="11"/>
      <c r="H497" s="11"/>
      <c r="I497" s="34"/>
      <c r="J497" s="11"/>
    </row>
    <row r="498" spans="1:10" ht="18" customHeight="1">
      <c r="A498" s="19"/>
      <c r="B498" s="19"/>
      <c r="C498" s="19"/>
      <c r="D498" s="19"/>
      <c r="E498" s="19"/>
      <c r="F498" s="19"/>
      <c r="G498" s="19"/>
      <c r="H498" s="19"/>
      <c r="I498" s="33"/>
      <c r="J498" s="19"/>
    </row>
    <row r="499" spans="1:10" ht="18" customHeight="1">
      <c r="A499" s="11"/>
      <c r="B499" s="11"/>
      <c r="C499" s="11"/>
      <c r="D499" s="11"/>
      <c r="E499" s="11"/>
      <c r="F499" s="11"/>
      <c r="G499" s="11"/>
      <c r="H499" s="11"/>
      <c r="I499" s="34"/>
      <c r="J499" s="11"/>
    </row>
    <row r="500" spans="1:10" ht="18" customHeight="1">
      <c r="A500" s="19"/>
      <c r="B500" s="19"/>
      <c r="C500" s="19"/>
      <c r="D500" s="19"/>
      <c r="E500" s="19"/>
      <c r="F500" s="19"/>
      <c r="G500" s="19"/>
      <c r="H500" s="19"/>
      <c r="I500" s="33"/>
      <c r="J500" s="19"/>
    </row>
    <row r="501" spans="1:10" ht="18" customHeight="1">
      <c r="A501" s="11"/>
      <c r="B501" s="11"/>
      <c r="C501" s="11"/>
      <c r="D501" s="11"/>
      <c r="E501" s="11"/>
      <c r="F501" s="11"/>
      <c r="G501" s="11"/>
      <c r="H501" s="11"/>
      <c r="I501" s="34"/>
      <c r="J501" s="11"/>
    </row>
    <row r="502" spans="1:10" ht="18" customHeight="1">
      <c r="A502" s="19"/>
      <c r="B502" s="19"/>
      <c r="C502" s="19"/>
      <c r="D502" s="19"/>
      <c r="E502" s="19"/>
      <c r="F502" s="19"/>
      <c r="G502" s="19"/>
      <c r="H502" s="19"/>
      <c r="I502" s="33"/>
      <c r="J502" s="19"/>
    </row>
    <row r="503" spans="1:10" ht="18" customHeight="1">
      <c r="A503" s="11"/>
      <c r="B503" s="11"/>
      <c r="C503" s="11"/>
      <c r="D503" s="11"/>
      <c r="E503" s="11"/>
      <c r="F503" s="11"/>
      <c r="G503" s="11"/>
      <c r="H503" s="11"/>
      <c r="I503" s="34"/>
      <c r="J503" s="11"/>
    </row>
    <row r="504" spans="1:10" ht="18" customHeight="1">
      <c r="A504" s="19"/>
      <c r="B504" s="19"/>
      <c r="C504" s="19"/>
      <c r="D504" s="19"/>
      <c r="E504" s="19"/>
      <c r="F504" s="19"/>
      <c r="G504" s="19"/>
      <c r="H504" s="19"/>
      <c r="I504" s="33"/>
      <c r="J504" s="19"/>
    </row>
    <row r="505" spans="1:10" ht="18" customHeight="1">
      <c r="A505" s="11"/>
      <c r="B505" s="11"/>
      <c r="C505" s="11"/>
      <c r="D505" s="11"/>
      <c r="E505" s="11"/>
      <c r="F505" s="11"/>
      <c r="G505" s="11"/>
      <c r="H505" s="11"/>
      <c r="I505" s="34"/>
      <c r="J505" s="11"/>
    </row>
    <row r="506" spans="1:10" ht="18" customHeight="1">
      <c r="A506" s="19"/>
      <c r="B506" s="19"/>
      <c r="C506" s="19"/>
      <c r="D506" s="19"/>
      <c r="E506" s="19"/>
      <c r="F506" s="19"/>
      <c r="G506" s="19"/>
      <c r="H506" s="19"/>
      <c r="I506" s="33"/>
      <c r="J506" s="19"/>
    </row>
    <row r="507" spans="1:10" ht="18" customHeight="1">
      <c r="A507" s="11"/>
      <c r="B507" s="11"/>
      <c r="C507" s="11"/>
      <c r="D507" s="11"/>
      <c r="E507" s="11"/>
      <c r="F507" s="11"/>
      <c r="G507" s="11"/>
      <c r="H507" s="11"/>
      <c r="I507" s="34"/>
      <c r="J507" s="11"/>
    </row>
    <row r="508" spans="1:10" ht="18" customHeight="1">
      <c r="A508" s="19"/>
      <c r="B508" s="19"/>
      <c r="C508" s="19"/>
      <c r="D508" s="19"/>
      <c r="E508" s="19"/>
      <c r="F508" s="19"/>
      <c r="G508" s="19"/>
      <c r="H508" s="19"/>
      <c r="I508" s="33"/>
      <c r="J508" s="19"/>
    </row>
    <row r="509" spans="1:10" ht="18" customHeight="1">
      <c r="A509" s="11"/>
      <c r="B509" s="11"/>
      <c r="C509" s="11"/>
      <c r="D509" s="11"/>
      <c r="E509" s="11"/>
      <c r="F509" s="11"/>
      <c r="G509" s="11"/>
      <c r="H509" s="11"/>
      <c r="I509" s="34"/>
      <c r="J509" s="11"/>
    </row>
    <row r="510" spans="1:10" ht="18" customHeight="1">
      <c r="A510" s="19"/>
      <c r="B510" s="19"/>
      <c r="C510" s="19"/>
      <c r="D510" s="19"/>
      <c r="E510" s="19"/>
      <c r="F510" s="19"/>
      <c r="G510" s="19"/>
      <c r="H510" s="19"/>
      <c r="I510" s="33"/>
      <c r="J510" s="19"/>
    </row>
    <row r="511" spans="1:10" ht="18" customHeight="1">
      <c r="A511" s="11"/>
      <c r="B511" s="11"/>
      <c r="C511" s="11"/>
      <c r="D511" s="11"/>
      <c r="E511" s="11"/>
      <c r="F511" s="11"/>
      <c r="G511" s="11"/>
      <c r="H511" s="11"/>
      <c r="I511" s="34"/>
      <c r="J511" s="11"/>
    </row>
    <row r="512" spans="1:10" ht="18" customHeight="1">
      <c r="A512" s="19"/>
      <c r="B512" s="19"/>
      <c r="C512" s="19"/>
      <c r="D512" s="19"/>
      <c r="E512" s="19"/>
      <c r="F512" s="19"/>
      <c r="G512" s="19"/>
      <c r="H512" s="19"/>
      <c r="I512" s="33"/>
      <c r="J512" s="19"/>
    </row>
    <row r="513" spans="1:10" ht="18" customHeight="1">
      <c r="A513" s="11"/>
      <c r="B513" s="11"/>
      <c r="C513" s="11"/>
      <c r="D513" s="11"/>
      <c r="E513" s="11"/>
      <c r="F513" s="11"/>
      <c r="G513" s="11"/>
      <c r="H513" s="11"/>
      <c r="I513" s="34"/>
      <c r="J513" s="11"/>
    </row>
    <row r="514" spans="1:10" ht="18" customHeight="1">
      <c r="A514" s="19"/>
      <c r="B514" s="19"/>
      <c r="C514" s="19"/>
      <c r="D514" s="19"/>
      <c r="E514" s="19"/>
      <c r="F514" s="19"/>
      <c r="G514" s="19"/>
      <c r="H514" s="19"/>
      <c r="I514" s="33"/>
      <c r="J514" s="19"/>
    </row>
    <row r="515" spans="1:10" ht="18" customHeight="1">
      <c r="A515" s="11"/>
      <c r="B515" s="11"/>
      <c r="C515" s="11"/>
      <c r="D515" s="11"/>
      <c r="E515" s="11"/>
      <c r="F515" s="11"/>
      <c r="G515" s="11"/>
      <c r="H515" s="11"/>
      <c r="I515" s="34"/>
      <c r="J515" s="11"/>
    </row>
    <row r="516" spans="1:10" ht="18" customHeight="1">
      <c r="A516" s="19"/>
      <c r="B516" s="19"/>
      <c r="C516" s="19"/>
      <c r="D516" s="19"/>
      <c r="E516" s="19"/>
      <c r="F516" s="19"/>
      <c r="G516" s="19"/>
      <c r="H516" s="19"/>
      <c r="I516" s="33"/>
      <c r="J516" s="19"/>
    </row>
    <row r="517" spans="1:10" ht="18" customHeight="1">
      <c r="A517" s="11"/>
      <c r="B517" s="11"/>
      <c r="C517" s="11"/>
      <c r="D517" s="11"/>
      <c r="E517" s="11"/>
      <c r="F517" s="11"/>
      <c r="G517" s="11"/>
      <c r="H517" s="11"/>
      <c r="I517" s="34"/>
      <c r="J517" s="11"/>
    </row>
    <row r="518" spans="1:10" ht="18" customHeight="1">
      <c r="A518" s="19"/>
      <c r="B518" s="19"/>
      <c r="C518" s="19"/>
      <c r="D518" s="19"/>
      <c r="E518" s="19"/>
      <c r="F518" s="19"/>
      <c r="G518" s="19"/>
      <c r="H518" s="19"/>
      <c r="I518" s="33"/>
      <c r="J518" s="19"/>
    </row>
    <row r="519" spans="1:10" ht="18" customHeight="1">
      <c r="A519" s="11"/>
      <c r="B519" s="11"/>
      <c r="C519" s="11"/>
      <c r="D519" s="11"/>
      <c r="E519" s="11"/>
      <c r="F519" s="11"/>
      <c r="G519" s="11"/>
      <c r="H519" s="11"/>
      <c r="I519" s="34"/>
      <c r="J519" s="11"/>
    </row>
    <row r="520" spans="1:10" ht="18" customHeight="1">
      <c r="A520" s="19"/>
      <c r="B520" s="19"/>
      <c r="C520" s="19"/>
      <c r="D520" s="19"/>
      <c r="E520" s="19"/>
      <c r="F520" s="19"/>
      <c r="G520" s="19"/>
      <c r="H520" s="19"/>
      <c r="I520" s="33"/>
      <c r="J520" s="19"/>
    </row>
    <row r="521" spans="1:10" ht="18" customHeight="1">
      <c r="A521" s="11"/>
      <c r="B521" s="11"/>
      <c r="C521" s="11"/>
      <c r="D521" s="11"/>
      <c r="E521" s="11"/>
      <c r="F521" s="11"/>
      <c r="G521" s="11"/>
      <c r="H521" s="11"/>
      <c r="I521" s="34"/>
      <c r="J521" s="11"/>
    </row>
    <row r="522" spans="1:10" ht="18" customHeight="1">
      <c r="A522" s="19"/>
      <c r="B522" s="19"/>
      <c r="C522" s="19"/>
      <c r="D522" s="19"/>
      <c r="E522" s="19"/>
      <c r="F522" s="19"/>
      <c r="G522" s="19"/>
      <c r="H522" s="19"/>
      <c r="I522" s="33"/>
      <c r="J522" s="19"/>
    </row>
    <row r="523" spans="1:10" ht="18" customHeight="1">
      <c r="A523" s="11"/>
      <c r="B523" s="11"/>
      <c r="C523" s="11"/>
      <c r="D523" s="11"/>
      <c r="E523" s="11"/>
      <c r="F523" s="11"/>
      <c r="G523" s="11"/>
      <c r="H523" s="11"/>
      <c r="I523" s="34"/>
      <c r="J523" s="11"/>
    </row>
    <row r="524" spans="1:10" ht="18" customHeight="1">
      <c r="A524" s="19"/>
      <c r="B524" s="19"/>
      <c r="C524" s="19"/>
      <c r="D524" s="19"/>
      <c r="E524" s="19"/>
      <c r="F524" s="19"/>
      <c r="G524" s="19"/>
      <c r="H524" s="19"/>
      <c r="I524" s="33"/>
      <c r="J524" s="19"/>
    </row>
    <row r="525" spans="1:10" ht="18" customHeight="1">
      <c r="A525" s="11"/>
      <c r="B525" s="11"/>
      <c r="C525" s="11"/>
      <c r="D525" s="11"/>
      <c r="E525" s="11"/>
      <c r="F525" s="11"/>
      <c r="G525" s="11"/>
      <c r="H525" s="11"/>
      <c r="I525" s="34"/>
      <c r="J525" s="11"/>
    </row>
    <row r="526" spans="1:10" ht="18" customHeight="1">
      <c r="A526" s="19"/>
      <c r="B526" s="19"/>
      <c r="C526" s="19"/>
      <c r="D526" s="19"/>
      <c r="E526" s="19"/>
      <c r="F526" s="19"/>
      <c r="G526" s="19"/>
      <c r="H526" s="19"/>
      <c r="I526" s="33"/>
      <c r="J526" s="19"/>
    </row>
    <row r="527" spans="1:10" ht="18" customHeight="1">
      <c r="A527" s="11"/>
      <c r="B527" s="11"/>
      <c r="C527" s="11"/>
      <c r="D527" s="11"/>
      <c r="E527" s="11"/>
      <c r="F527" s="11"/>
      <c r="G527" s="11"/>
      <c r="H527" s="11"/>
      <c r="I527" s="34"/>
      <c r="J527" s="11"/>
    </row>
    <row r="528" spans="1:10" ht="18" customHeight="1">
      <c r="A528" s="19"/>
      <c r="B528" s="19"/>
      <c r="C528" s="19"/>
      <c r="D528" s="19"/>
      <c r="E528" s="19"/>
      <c r="F528" s="19"/>
      <c r="G528" s="19"/>
      <c r="H528" s="19"/>
      <c r="I528" s="33"/>
      <c r="J528" s="19"/>
    </row>
    <row r="529" spans="1:10" ht="18" customHeight="1">
      <c r="A529" s="11"/>
      <c r="B529" s="11"/>
      <c r="C529" s="11"/>
      <c r="D529" s="11"/>
      <c r="E529" s="11"/>
      <c r="F529" s="11"/>
      <c r="G529" s="11"/>
      <c r="H529" s="11"/>
      <c r="I529" s="34"/>
      <c r="J529" s="11"/>
    </row>
    <row r="530" spans="1:10" ht="18" customHeight="1">
      <c r="A530" s="19"/>
      <c r="B530" s="19"/>
      <c r="C530" s="19"/>
      <c r="D530" s="19"/>
      <c r="E530" s="19"/>
      <c r="F530" s="19"/>
      <c r="G530" s="19"/>
      <c r="H530" s="19"/>
      <c r="I530" s="33"/>
      <c r="J530" s="19"/>
    </row>
    <row r="531" spans="1:10" ht="18" customHeight="1">
      <c r="A531" s="11"/>
      <c r="B531" s="11"/>
      <c r="C531" s="11"/>
      <c r="D531" s="11"/>
      <c r="E531" s="11"/>
      <c r="F531" s="11"/>
      <c r="G531" s="11"/>
      <c r="H531" s="11"/>
      <c r="I531" s="34"/>
      <c r="J531" s="11"/>
    </row>
    <row r="532" spans="1:10" ht="18" customHeight="1">
      <c r="A532" s="19"/>
      <c r="B532" s="19"/>
      <c r="C532" s="19"/>
      <c r="D532" s="19"/>
      <c r="E532" s="19"/>
      <c r="F532" s="19"/>
      <c r="G532" s="19"/>
      <c r="H532" s="19"/>
      <c r="I532" s="33"/>
      <c r="J532" s="19"/>
    </row>
    <row r="533" spans="1:10" ht="18" customHeight="1">
      <c r="A533" s="11"/>
      <c r="B533" s="11"/>
      <c r="C533" s="11"/>
      <c r="D533" s="11"/>
      <c r="E533" s="11"/>
      <c r="F533" s="11"/>
      <c r="G533" s="11"/>
      <c r="H533" s="11"/>
      <c r="I533" s="34"/>
      <c r="J533" s="11"/>
    </row>
    <row r="534" spans="1:10" ht="18" customHeight="1">
      <c r="A534" s="19"/>
      <c r="B534" s="19"/>
      <c r="C534" s="19"/>
      <c r="D534" s="19"/>
      <c r="E534" s="19"/>
      <c r="F534" s="19"/>
      <c r="G534" s="19"/>
      <c r="H534" s="19"/>
      <c r="I534" s="33"/>
      <c r="J534" s="19"/>
    </row>
    <row r="535" spans="1:10" ht="18" customHeight="1">
      <c r="A535" s="11"/>
      <c r="B535" s="11"/>
      <c r="C535" s="11"/>
      <c r="D535" s="11"/>
      <c r="E535" s="11"/>
      <c r="F535" s="11"/>
      <c r="G535" s="11"/>
      <c r="H535" s="11"/>
      <c r="I535" s="34"/>
      <c r="J535" s="11"/>
    </row>
    <row r="536" spans="1:10" ht="18" customHeight="1">
      <c r="A536" s="19"/>
      <c r="B536" s="19"/>
      <c r="C536" s="19"/>
      <c r="D536" s="19"/>
      <c r="E536" s="19"/>
      <c r="F536" s="19"/>
      <c r="G536" s="19"/>
      <c r="H536" s="19"/>
      <c r="I536" s="33"/>
      <c r="J536" s="19"/>
    </row>
    <row r="537" spans="1:10" ht="18" customHeight="1">
      <c r="A537" s="11"/>
      <c r="B537" s="11"/>
      <c r="C537" s="11"/>
      <c r="D537" s="11"/>
      <c r="E537" s="11"/>
      <c r="F537" s="11"/>
      <c r="G537" s="11"/>
      <c r="H537" s="11"/>
      <c r="I537" s="34"/>
      <c r="J537" s="11"/>
    </row>
    <row r="538" spans="1:10" ht="18" customHeight="1">
      <c r="A538" s="19"/>
      <c r="B538" s="19"/>
      <c r="C538" s="19"/>
      <c r="D538" s="19"/>
      <c r="E538" s="19"/>
      <c r="F538" s="19"/>
      <c r="G538" s="19"/>
      <c r="H538" s="19"/>
      <c r="I538" s="33"/>
      <c r="J538" s="19"/>
    </row>
    <row r="539" spans="1:10" ht="18" customHeight="1">
      <c r="A539" s="11"/>
      <c r="B539" s="11"/>
      <c r="C539" s="11"/>
      <c r="D539" s="11"/>
      <c r="E539" s="11"/>
      <c r="F539" s="11"/>
      <c r="G539" s="11"/>
      <c r="H539" s="11"/>
      <c r="I539" s="34"/>
      <c r="J539" s="11"/>
    </row>
    <row r="540" spans="1:10" ht="18" customHeight="1">
      <c r="A540" s="19"/>
      <c r="B540" s="19"/>
      <c r="C540" s="19"/>
      <c r="D540" s="19"/>
      <c r="E540" s="19"/>
      <c r="F540" s="19"/>
      <c r="G540" s="19"/>
      <c r="H540" s="19"/>
      <c r="I540" s="33"/>
      <c r="J540" s="19"/>
    </row>
    <row r="541" spans="1:10" ht="18" customHeight="1">
      <c r="A541" s="11"/>
      <c r="B541" s="11"/>
      <c r="C541" s="11"/>
      <c r="D541" s="11"/>
      <c r="E541" s="11"/>
      <c r="F541" s="11"/>
      <c r="G541" s="11"/>
      <c r="H541" s="11"/>
      <c r="I541" s="34"/>
      <c r="J541" s="11"/>
    </row>
    <row r="542" spans="1:10" ht="18" customHeight="1">
      <c r="A542" s="19"/>
      <c r="B542" s="19"/>
      <c r="C542" s="19"/>
      <c r="D542" s="19"/>
      <c r="E542" s="19"/>
      <c r="F542" s="19"/>
      <c r="G542" s="19"/>
      <c r="H542" s="19"/>
      <c r="I542" s="33"/>
      <c r="J542" s="19"/>
    </row>
    <row r="543" spans="1:10" ht="18" customHeight="1">
      <c r="A543" s="11"/>
      <c r="B543" s="11"/>
      <c r="C543" s="11"/>
      <c r="D543" s="11"/>
      <c r="E543" s="11"/>
      <c r="F543" s="11"/>
      <c r="G543" s="11"/>
      <c r="H543" s="11"/>
      <c r="I543" s="34"/>
      <c r="J543" s="11"/>
    </row>
    <row r="544" spans="1:10" ht="18" customHeight="1">
      <c r="A544" s="19"/>
      <c r="B544" s="19"/>
      <c r="C544" s="19"/>
      <c r="D544" s="19"/>
      <c r="E544" s="19"/>
      <c r="F544" s="19"/>
      <c r="G544" s="19"/>
      <c r="H544" s="19"/>
      <c r="I544" s="33"/>
      <c r="J544" s="19"/>
    </row>
    <row r="545" spans="1:10" ht="18" customHeight="1">
      <c r="A545" s="11"/>
      <c r="B545" s="11"/>
      <c r="C545" s="11"/>
      <c r="D545" s="11"/>
      <c r="E545" s="11"/>
      <c r="F545" s="11"/>
      <c r="G545" s="11"/>
      <c r="H545" s="11"/>
      <c r="I545" s="34"/>
      <c r="J545" s="11"/>
    </row>
    <row r="546" spans="1:10" ht="18" customHeight="1">
      <c r="A546" s="19"/>
      <c r="B546" s="19"/>
      <c r="C546" s="19"/>
      <c r="D546" s="19"/>
      <c r="E546" s="19"/>
      <c r="F546" s="19"/>
      <c r="G546" s="19"/>
      <c r="H546" s="19"/>
      <c r="I546" s="33"/>
      <c r="J546" s="19"/>
    </row>
    <row r="547" spans="1:10" ht="18" customHeight="1">
      <c r="A547" s="11"/>
      <c r="B547" s="11"/>
      <c r="C547" s="11"/>
      <c r="D547" s="11"/>
      <c r="E547" s="11"/>
      <c r="F547" s="11"/>
      <c r="G547" s="11"/>
      <c r="H547" s="11"/>
      <c r="I547" s="34"/>
      <c r="J547" s="11"/>
    </row>
    <row r="548" spans="1:10" ht="18" customHeight="1">
      <c r="A548" s="19"/>
      <c r="B548" s="19"/>
      <c r="C548" s="19"/>
      <c r="D548" s="19"/>
      <c r="E548" s="19"/>
      <c r="F548" s="19"/>
      <c r="G548" s="19"/>
      <c r="H548" s="19"/>
      <c r="I548" s="33"/>
      <c r="J548" s="19"/>
    </row>
    <row r="549" spans="1:10" ht="18" customHeight="1">
      <c r="A549" s="11"/>
      <c r="B549" s="11"/>
      <c r="C549" s="11"/>
      <c r="D549" s="11"/>
      <c r="E549" s="11"/>
      <c r="F549" s="11"/>
      <c r="G549" s="11"/>
      <c r="H549" s="11"/>
      <c r="I549" s="34"/>
      <c r="J549" s="11"/>
    </row>
    <row r="550" spans="1:10" ht="18" customHeight="1">
      <c r="A550" s="19"/>
      <c r="B550" s="19"/>
      <c r="C550" s="19"/>
      <c r="D550" s="19"/>
      <c r="E550" s="19"/>
      <c r="F550" s="19"/>
      <c r="G550" s="19"/>
      <c r="H550" s="19"/>
      <c r="I550" s="33"/>
      <c r="J550" s="19"/>
    </row>
    <row r="551" spans="1:10" ht="18" customHeight="1">
      <c r="A551" s="11"/>
      <c r="B551" s="11"/>
      <c r="C551" s="11"/>
      <c r="D551" s="11"/>
      <c r="E551" s="11"/>
      <c r="F551" s="11"/>
      <c r="G551" s="11"/>
      <c r="H551" s="11"/>
      <c r="I551" s="34"/>
      <c r="J551" s="11"/>
    </row>
    <row r="552" spans="1:10" ht="18" customHeight="1">
      <c r="A552" s="19"/>
      <c r="B552" s="19"/>
      <c r="C552" s="19"/>
      <c r="D552" s="19"/>
      <c r="E552" s="19"/>
      <c r="F552" s="19"/>
      <c r="G552" s="19"/>
      <c r="H552" s="19"/>
      <c r="I552" s="33"/>
      <c r="J552" s="19"/>
    </row>
    <row r="553" spans="1:10" ht="18" customHeight="1">
      <c r="A553" s="11"/>
      <c r="B553" s="11"/>
      <c r="C553" s="11"/>
      <c r="D553" s="11"/>
      <c r="E553" s="11"/>
      <c r="F553" s="11"/>
      <c r="G553" s="11"/>
      <c r="H553" s="11"/>
      <c r="I553" s="34"/>
      <c r="J553" s="11"/>
    </row>
    <row r="554" spans="1:10" ht="18" customHeight="1">
      <c r="A554" s="19"/>
      <c r="B554" s="19"/>
      <c r="C554" s="19"/>
      <c r="D554" s="19"/>
      <c r="E554" s="19"/>
      <c r="F554" s="19"/>
      <c r="G554" s="19"/>
      <c r="H554" s="19"/>
      <c r="I554" s="33"/>
      <c r="J554" s="19"/>
    </row>
    <row r="555" spans="1:10" ht="18" customHeight="1">
      <c r="A555" s="11"/>
      <c r="B555" s="11"/>
      <c r="C555" s="11"/>
      <c r="D555" s="11"/>
      <c r="E555" s="11"/>
      <c r="F555" s="11"/>
      <c r="G555" s="11"/>
      <c r="H555" s="11"/>
      <c r="I555" s="34"/>
      <c r="J555" s="11"/>
    </row>
    <row r="556" spans="1:10" ht="18" customHeight="1">
      <c r="A556" s="19"/>
      <c r="B556" s="19"/>
      <c r="C556" s="19"/>
      <c r="D556" s="19"/>
      <c r="E556" s="19"/>
      <c r="F556" s="19"/>
      <c r="G556" s="19"/>
      <c r="H556" s="19"/>
      <c r="I556" s="33"/>
      <c r="J556" s="19"/>
    </row>
    <row r="557" spans="1:10" ht="18" customHeight="1">
      <c r="A557" s="11"/>
      <c r="B557" s="11"/>
      <c r="C557" s="11"/>
      <c r="D557" s="11"/>
      <c r="E557" s="11"/>
      <c r="F557" s="11"/>
      <c r="G557" s="11"/>
      <c r="H557" s="11"/>
      <c r="I557" s="34"/>
      <c r="J557" s="11"/>
    </row>
    <row r="558" spans="1:10" ht="18" customHeight="1">
      <c r="A558" s="19"/>
      <c r="B558" s="19"/>
      <c r="C558" s="19"/>
      <c r="D558" s="19"/>
      <c r="E558" s="19"/>
      <c r="F558" s="19"/>
      <c r="G558" s="19"/>
      <c r="H558" s="19"/>
      <c r="I558" s="33"/>
      <c r="J558" s="19"/>
    </row>
    <row r="559" spans="1:10" ht="18" customHeight="1">
      <c r="A559" s="11"/>
      <c r="B559" s="11"/>
      <c r="C559" s="11"/>
      <c r="D559" s="11"/>
      <c r="E559" s="11"/>
      <c r="F559" s="11"/>
      <c r="G559" s="11"/>
      <c r="H559" s="11"/>
      <c r="I559" s="34"/>
      <c r="J559" s="11"/>
    </row>
    <row r="560" spans="1:10" ht="18" customHeight="1">
      <c r="A560" s="19"/>
      <c r="B560" s="19"/>
      <c r="C560" s="19"/>
      <c r="D560" s="19"/>
      <c r="E560" s="19"/>
      <c r="F560" s="19"/>
      <c r="G560" s="19"/>
      <c r="H560" s="19"/>
      <c r="I560" s="33"/>
      <c r="J560" s="19"/>
    </row>
    <row r="561" spans="1:10" ht="18" customHeight="1">
      <c r="A561" s="11"/>
      <c r="B561" s="11"/>
      <c r="C561" s="11"/>
      <c r="D561" s="11"/>
      <c r="E561" s="11"/>
      <c r="F561" s="11"/>
      <c r="G561" s="11"/>
      <c r="H561" s="11"/>
      <c r="I561" s="34"/>
      <c r="J561" s="11"/>
    </row>
    <row r="562" spans="1:10" ht="18" customHeight="1">
      <c r="A562" s="19"/>
      <c r="B562" s="19"/>
      <c r="C562" s="19"/>
      <c r="D562" s="19"/>
      <c r="E562" s="19"/>
      <c r="F562" s="19"/>
      <c r="G562" s="19"/>
      <c r="H562" s="19"/>
      <c r="I562" s="33"/>
      <c r="J562" s="19"/>
    </row>
    <row r="563" spans="1:10" ht="18" customHeight="1">
      <c r="A563" s="11"/>
      <c r="B563" s="11"/>
      <c r="C563" s="11"/>
      <c r="D563" s="11"/>
      <c r="E563" s="11"/>
      <c r="F563" s="11"/>
      <c r="G563" s="11"/>
      <c r="H563" s="11"/>
      <c r="I563" s="34"/>
      <c r="J563" s="11"/>
    </row>
    <row r="564" spans="1:10" ht="18" customHeight="1">
      <c r="A564" s="19"/>
      <c r="B564" s="19"/>
      <c r="C564" s="19"/>
      <c r="D564" s="19"/>
      <c r="E564" s="19"/>
      <c r="F564" s="19"/>
      <c r="G564" s="19"/>
      <c r="H564" s="19"/>
      <c r="I564" s="33"/>
      <c r="J564" s="19"/>
    </row>
    <row r="565" spans="1:10" ht="18" customHeight="1">
      <c r="A565" s="11"/>
      <c r="B565" s="11"/>
      <c r="C565" s="11"/>
      <c r="D565" s="11"/>
      <c r="E565" s="11"/>
      <c r="F565" s="11"/>
      <c r="G565" s="11"/>
      <c r="H565" s="11"/>
      <c r="I565" s="34"/>
      <c r="J565" s="11"/>
    </row>
    <row r="566" spans="1:10" ht="18" customHeight="1">
      <c r="A566" s="19"/>
      <c r="B566" s="19"/>
      <c r="C566" s="19"/>
      <c r="D566" s="19"/>
      <c r="E566" s="19"/>
      <c r="F566" s="19"/>
      <c r="G566" s="19"/>
      <c r="H566" s="19"/>
      <c r="I566" s="33"/>
      <c r="J566" s="19"/>
    </row>
    <row r="567" spans="1:10" ht="18" customHeight="1">
      <c r="A567" s="11"/>
      <c r="B567" s="11"/>
      <c r="C567" s="11"/>
      <c r="D567" s="11"/>
      <c r="E567" s="11"/>
      <c r="F567" s="11"/>
      <c r="G567" s="11"/>
      <c r="H567" s="11"/>
      <c r="I567" s="34"/>
      <c r="J567" s="11"/>
    </row>
    <row r="568" spans="1:10" ht="18" customHeight="1">
      <c r="A568" s="19"/>
      <c r="B568" s="19"/>
      <c r="C568" s="19"/>
      <c r="D568" s="19"/>
      <c r="E568" s="19"/>
      <c r="F568" s="19"/>
      <c r="G568" s="19"/>
      <c r="H568" s="19"/>
      <c r="I568" s="33"/>
      <c r="J568" s="19"/>
    </row>
    <row r="569" spans="1:10" ht="18" customHeight="1">
      <c r="A569" s="11"/>
      <c r="B569" s="11"/>
      <c r="C569" s="11"/>
      <c r="D569" s="11"/>
      <c r="E569" s="11"/>
      <c r="F569" s="11"/>
      <c r="G569" s="11"/>
      <c r="H569" s="11"/>
      <c r="I569" s="34"/>
      <c r="J569" s="11"/>
    </row>
    <row r="570" spans="1:10" ht="18" customHeight="1">
      <c r="A570" s="19"/>
      <c r="B570" s="19"/>
      <c r="C570" s="19"/>
      <c r="D570" s="19"/>
      <c r="E570" s="19"/>
      <c r="F570" s="19"/>
      <c r="G570" s="19"/>
      <c r="H570" s="19"/>
      <c r="I570" s="33"/>
      <c r="J570" s="19"/>
    </row>
    <row r="571" spans="1:10" ht="18" customHeight="1">
      <c r="A571" s="11"/>
      <c r="B571" s="11"/>
      <c r="C571" s="11"/>
      <c r="D571" s="11"/>
      <c r="E571" s="11"/>
      <c r="F571" s="11"/>
      <c r="G571" s="11"/>
      <c r="H571" s="11"/>
      <c r="I571" s="34"/>
      <c r="J571" s="11"/>
    </row>
    <row r="572" spans="1:10" ht="18" customHeight="1">
      <c r="A572" s="19"/>
      <c r="B572" s="19"/>
      <c r="C572" s="19"/>
      <c r="D572" s="19"/>
      <c r="E572" s="19"/>
      <c r="F572" s="19"/>
      <c r="G572" s="19"/>
      <c r="H572" s="19"/>
      <c r="I572" s="33"/>
      <c r="J572" s="19"/>
    </row>
    <row r="573" spans="1:10" ht="18" customHeight="1">
      <c r="A573" s="11"/>
      <c r="B573" s="11"/>
      <c r="C573" s="11"/>
      <c r="D573" s="11"/>
      <c r="E573" s="11"/>
      <c r="F573" s="11"/>
      <c r="G573" s="11"/>
      <c r="H573" s="11"/>
      <c r="I573" s="34"/>
      <c r="J573" s="11"/>
    </row>
    <row r="574" spans="1:10" ht="18" customHeight="1">
      <c r="A574" s="19"/>
      <c r="B574" s="19"/>
      <c r="C574" s="19"/>
      <c r="D574" s="19"/>
      <c r="E574" s="19"/>
      <c r="F574" s="19"/>
      <c r="G574" s="19"/>
      <c r="H574" s="19"/>
      <c r="I574" s="33"/>
      <c r="J574" s="19"/>
    </row>
    <row r="575" spans="1:10" ht="18" customHeight="1">
      <c r="A575" s="11"/>
      <c r="B575" s="11"/>
      <c r="C575" s="11"/>
      <c r="D575" s="11"/>
      <c r="E575" s="11"/>
      <c r="F575" s="11"/>
      <c r="G575" s="11"/>
      <c r="H575" s="11"/>
      <c r="I575" s="34"/>
      <c r="J575" s="11"/>
    </row>
    <row r="576" spans="1:10" ht="18" customHeight="1">
      <c r="A576" s="19"/>
      <c r="B576" s="19"/>
      <c r="C576" s="19"/>
      <c r="D576" s="19"/>
      <c r="E576" s="19"/>
      <c r="F576" s="19"/>
      <c r="G576" s="19"/>
      <c r="H576" s="19"/>
      <c r="I576" s="33"/>
      <c r="J576" s="19"/>
    </row>
    <row r="577" spans="1:10" ht="18" customHeight="1">
      <c r="A577" s="11"/>
      <c r="B577" s="11"/>
      <c r="C577" s="11"/>
      <c r="D577" s="11"/>
      <c r="E577" s="11"/>
      <c r="F577" s="11"/>
      <c r="G577" s="11"/>
      <c r="H577" s="11"/>
      <c r="I577" s="34"/>
      <c r="J577" s="11"/>
    </row>
    <row r="578" spans="1:10" ht="18" customHeight="1">
      <c r="A578" s="19"/>
      <c r="B578" s="19"/>
      <c r="C578" s="19"/>
      <c r="D578" s="19"/>
      <c r="E578" s="19"/>
      <c r="F578" s="19"/>
      <c r="G578" s="19"/>
      <c r="H578" s="19"/>
      <c r="I578" s="33"/>
      <c r="J578" s="19"/>
    </row>
    <row r="579" spans="1:10" ht="18" customHeight="1">
      <c r="A579" s="11"/>
      <c r="B579" s="11"/>
      <c r="C579" s="11"/>
      <c r="D579" s="11"/>
      <c r="E579" s="11"/>
      <c r="F579" s="11"/>
      <c r="G579" s="11"/>
      <c r="H579" s="11"/>
      <c r="I579" s="34"/>
      <c r="J579" s="11"/>
    </row>
    <row r="580" spans="1:10" ht="18" customHeight="1">
      <c r="A580" s="19"/>
      <c r="B580" s="19"/>
      <c r="C580" s="19"/>
      <c r="D580" s="19"/>
      <c r="E580" s="19"/>
      <c r="F580" s="19"/>
      <c r="G580" s="19"/>
      <c r="H580" s="19"/>
      <c r="I580" s="33"/>
      <c r="J580" s="19"/>
    </row>
    <row r="581" spans="1:10" ht="18" customHeight="1">
      <c r="A581" s="11"/>
      <c r="B581" s="11"/>
      <c r="C581" s="11"/>
      <c r="D581" s="11"/>
      <c r="E581" s="11"/>
      <c r="F581" s="11"/>
      <c r="G581" s="11"/>
      <c r="H581" s="11"/>
      <c r="I581" s="34"/>
      <c r="J581" s="11"/>
    </row>
    <row r="582" spans="1:10" ht="18" customHeight="1">
      <c r="A582" s="19"/>
      <c r="B582" s="19"/>
      <c r="C582" s="19"/>
      <c r="D582" s="19"/>
      <c r="E582" s="19"/>
      <c r="F582" s="19"/>
      <c r="G582" s="19"/>
      <c r="H582" s="19"/>
      <c r="I582" s="33"/>
      <c r="J582" s="19"/>
    </row>
    <row r="583" spans="1:10" ht="18" customHeight="1">
      <c r="A583" s="11"/>
      <c r="B583" s="11"/>
      <c r="C583" s="11"/>
      <c r="D583" s="11"/>
      <c r="E583" s="11"/>
      <c r="F583" s="11"/>
      <c r="G583" s="11"/>
      <c r="H583" s="11"/>
      <c r="I583" s="34"/>
      <c r="J583" s="11"/>
    </row>
    <row r="584" spans="1:10" ht="18" customHeight="1">
      <c r="A584" s="19"/>
      <c r="B584" s="19"/>
      <c r="C584" s="19"/>
      <c r="D584" s="19"/>
      <c r="E584" s="19"/>
      <c r="F584" s="19"/>
      <c r="G584" s="19"/>
      <c r="H584" s="19"/>
      <c r="I584" s="33"/>
      <c r="J584" s="19"/>
    </row>
    <row r="585" spans="1:10" ht="18" customHeight="1">
      <c r="A585" s="11"/>
      <c r="B585" s="11"/>
      <c r="C585" s="11"/>
      <c r="D585" s="11"/>
      <c r="E585" s="11"/>
      <c r="F585" s="11"/>
      <c r="G585" s="11"/>
      <c r="H585" s="11"/>
      <c r="I585" s="34"/>
      <c r="J585" s="11"/>
    </row>
    <row r="586" spans="1:10" ht="18" customHeight="1">
      <c r="A586" s="19"/>
      <c r="B586" s="19"/>
      <c r="C586" s="19"/>
      <c r="D586" s="19"/>
      <c r="E586" s="19"/>
      <c r="F586" s="19"/>
      <c r="G586" s="19"/>
      <c r="H586" s="19"/>
      <c r="I586" s="33"/>
      <c r="J586" s="19"/>
    </row>
    <row r="587" spans="1:10" ht="18" customHeight="1">
      <c r="A587" s="11"/>
      <c r="B587" s="11"/>
      <c r="C587" s="11"/>
      <c r="D587" s="11"/>
      <c r="E587" s="11"/>
      <c r="F587" s="11"/>
      <c r="G587" s="11"/>
      <c r="H587" s="11"/>
      <c r="I587" s="34"/>
      <c r="J587" s="11"/>
    </row>
    <row r="588" spans="1:10" ht="18" customHeight="1">
      <c r="A588" s="19"/>
      <c r="B588" s="19"/>
      <c r="C588" s="19"/>
      <c r="D588" s="19"/>
      <c r="E588" s="19"/>
      <c r="F588" s="19"/>
      <c r="G588" s="19"/>
      <c r="H588" s="19"/>
      <c r="I588" s="33"/>
      <c r="J588" s="19"/>
    </row>
    <row r="589" spans="1:10" ht="18" customHeight="1">
      <c r="A589" s="11"/>
      <c r="B589" s="11"/>
      <c r="C589" s="11"/>
      <c r="D589" s="11"/>
      <c r="E589" s="11"/>
      <c r="F589" s="11"/>
      <c r="G589" s="11"/>
      <c r="H589" s="11"/>
      <c r="I589" s="34"/>
      <c r="J589" s="11"/>
    </row>
    <row r="590" spans="1:10" ht="18" customHeight="1">
      <c r="A590" s="19"/>
      <c r="B590" s="19"/>
      <c r="C590" s="19"/>
      <c r="D590" s="19"/>
      <c r="E590" s="19"/>
      <c r="F590" s="19"/>
      <c r="G590" s="19"/>
      <c r="H590" s="19"/>
      <c r="I590" s="33"/>
      <c r="J590" s="19"/>
    </row>
    <row r="591" spans="1:10" ht="18" customHeight="1">
      <c r="A591" s="11"/>
      <c r="B591" s="11"/>
      <c r="C591" s="11"/>
      <c r="D591" s="11"/>
      <c r="E591" s="11"/>
      <c r="F591" s="11"/>
      <c r="G591" s="11"/>
      <c r="H591" s="11"/>
      <c r="I591" s="34"/>
      <c r="J591" s="11"/>
    </row>
    <row r="592" spans="1:10" ht="18" customHeight="1">
      <c r="A592" s="19"/>
      <c r="B592" s="19"/>
      <c r="C592" s="19"/>
      <c r="D592" s="19"/>
      <c r="E592" s="19"/>
      <c r="F592" s="19"/>
      <c r="G592" s="19"/>
      <c r="H592" s="19"/>
      <c r="I592" s="33"/>
      <c r="J592" s="19"/>
    </row>
    <row r="593" spans="1:10" ht="18" customHeight="1">
      <c r="A593" s="11"/>
      <c r="B593" s="11"/>
      <c r="C593" s="11"/>
      <c r="D593" s="11"/>
      <c r="E593" s="11"/>
      <c r="F593" s="11"/>
      <c r="G593" s="11"/>
      <c r="H593" s="11"/>
      <c r="I593" s="34"/>
      <c r="J593" s="11"/>
    </row>
    <row r="594" spans="1:10" ht="18" customHeight="1">
      <c r="A594" s="19"/>
      <c r="B594" s="19"/>
      <c r="C594" s="19"/>
      <c r="D594" s="19"/>
      <c r="E594" s="19"/>
      <c r="F594" s="19"/>
      <c r="G594" s="19"/>
      <c r="H594" s="19"/>
      <c r="I594" s="33"/>
      <c r="J594" s="19"/>
    </row>
    <row r="595" spans="1:10" ht="18" customHeight="1">
      <c r="A595" s="11"/>
      <c r="B595" s="11"/>
      <c r="C595" s="11"/>
      <c r="D595" s="11"/>
      <c r="E595" s="11"/>
      <c r="F595" s="11"/>
      <c r="G595" s="11"/>
      <c r="H595" s="11"/>
      <c r="I595" s="34"/>
      <c r="J595" s="11"/>
    </row>
    <row r="596" spans="1:10" ht="18" customHeight="1">
      <c r="A596" s="19"/>
      <c r="B596" s="19"/>
      <c r="C596" s="19"/>
      <c r="D596" s="19"/>
      <c r="E596" s="19"/>
      <c r="F596" s="19"/>
      <c r="G596" s="19"/>
      <c r="H596" s="19"/>
      <c r="I596" s="33"/>
      <c r="J596" s="19"/>
    </row>
    <row r="597" spans="1:10" ht="18" customHeight="1">
      <c r="A597" s="11"/>
      <c r="B597" s="11"/>
      <c r="C597" s="11"/>
      <c r="D597" s="11"/>
      <c r="E597" s="11"/>
      <c r="F597" s="11"/>
      <c r="G597" s="11"/>
      <c r="H597" s="11"/>
      <c r="I597" s="34"/>
      <c r="J597" s="11"/>
    </row>
    <row r="598" spans="1:10" ht="18" customHeight="1">
      <c r="A598" s="19"/>
      <c r="B598" s="19"/>
      <c r="C598" s="19"/>
      <c r="D598" s="19"/>
      <c r="E598" s="19"/>
      <c r="F598" s="19"/>
      <c r="G598" s="19"/>
      <c r="H598" s="19"/>
      <c r="I598" s="33"/>
      <c r="J598" s="19"/>
    </row>
    <row r="599" spans="1:10" ht="18" customHeight="1">
      <c r="A599" s="11"/>
      <c r="B599" s="11"/>
      <c r="C599" s="11"/>
      <c r="D599" s="11"/>
      <c r="E599" s="11"/>
      <c r="F599" s="11"/>
      <c r="G599" s="11"/>
      <c r="H599" s="11"/>
      <c r="I599" s="34"/>
      <c r="J599" s="11"/>
    </row>
    <row r="600" spans="1:10" ht="18" customHeight="1">
      <c r="A600" s="19"/>
      <c r="B600" s="19"/>
      <c r="C600" s="19"/>
      <c r="D600" s="19"/>
      <c r="E600" s="19"/>
      <c r="F600" s="19"/>
      <c r="G600" s="19"/>
      <c r="H600" s="19"/>
      <c r="I600" s="33"/>
      <c r="J600" s="19"/>
    </row>
  </sheetData>
  <autoFilter ref="A4:J600" xr:uid="{00000000-0009-0000-0000-000002000000}"/>
  <mergeCells count="2">
    <mergeCell ref="A1:J1"/>
    <mergeCell ref="A2:J2"/>
  </mergeCells>
  <conditionalFormatting sqref="F5:F600">
    <cfRule type="cellIs" dxfId="6" priority="1" operator="equal">
      <formula>"Pass"</formula>
    </cfRule>
    <cfRule type="cellIs" dxfId="5" priority="2" operator="equal">
      <formula>"Fail"</formula>
    </cfRule>
    <cfRule type="cellIs" dxfId="4" priority="3" operator="equal">
      <formula>"N/A"</formula>
    </cfRule>
    <cfRule type="cellIs" dxfId="3" priority="4" operator="equal">
      <formula>"Not run"</formula>
    </cfRule>
  </conditionalFormatting>
  <dataValidations count="2">
    <dataValidation type="list" allowBlank="1" errorTitle="Result" error="Enter Pass, Fail, N/A or Not run." sqref="F5:F600" xr:uid="{00000000-0002-0000-0200-000000000000}">
      <formula1>"Pass,Fail,N/A,Not run"</formula1>
    </dataValidation>
    <dataValidation type="list" allowBlank="1" sqref="E5:E600" xr:uid="{00000000-0002-0000-0200-000001000000}">
      <formula1>"Blocking,Advisory"</formula1>
    </dataValidation>
  </dataValidations>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21"/>
  <sheetViews>
    <sheetView workbookViewId="0">
      <pane xSplit="1" ySplit="4" topLeftCell="B5" activePane="bottomRight" state="frozen"/>
      <selection pane="topRight"/>
      <selection pane="bottomLeft"/>
      <selection pane="bottomRight"/>
    </sheetView>
  </sheetViews>
  <sheetFormatPr defaultRowHeight="14.5"/>
  <cols>
    <col min="1" max="1" width="5" customWidth="1"/>
    <col min="2" max="2" width="26" customWidth="1"/>
    <col min="3" max="3" width="44" customWidth="1"/>
    <col min="4" max="4" width="42" customWidth="1"/>
    <col min="5" max="5" width="17" customWidth="1"/>
    <col min="6" max="6" width="50" customWidth="1"/>
    <col min="7" max="7" width="11" customWidth="1"/>
    <col min="8" max="8" width="15" customWidth="1"/>
  </cols>
  <sheetData>
    <row r="1" spans="1:8" ht="24" customHeight="1">
      <c r="A1" s="48" t="s">
        <v>124</v>
      </c>
      <c r="B1" s="42"/>
      <c r="C1" s="42"/>
      <c r="D1" s="42"/>
      <c r="E1" s="42"/>
      <c r="F1" s="42"/>
      <c r="G1" s="42"/>
      <c r="H1" s="42"/>
    </row>
    <row r="2" spans="1:8" ht="30" customHeight="1">
      <c r="A2" s="47" t="s">
        <v>125</v>
      </c>
      <c r="B2" s="42"/>
      <c r="C2" s="42"/>
      <c r="D2" s="42"/>
      <c r="E2" s="42"/>
      <c r="F2" s="42"/>
      <c r="G2" s="42"/>
      <c r="H2" s="42"/>
    </row>
    <row r="4" spans="1:8" ht="34" customHeight="1">
      <c r="A4" s="8" t="s">
        <v>79</v>
      </c>
      <c r="B4" s="8" t="s">
        <v>80</v>
      </c>
      <c r="C4" s="8" t="s">
        <v>81</v>
      </c>
      <c r="D4" s="8" t="s">
        <v>126</v>
      </c>
      <c r="E4" s="8" t="s">
        <v>127</v>
      </c>
      <c r="F4" s="8" t="s">
        <v>128</v>
      </c>
      <c r="G4" s="8" t="s">
        <v>82</v>
      </c>
      <c r="H4" s="8" t="s">
        <v>129</v>
      </c>
    </row>
    <row r="5" spans="1:8" ht="58" customHeight="1">
      <c r="A5" s="13">
        <v>1</v>
      </c>
      <c r="B5" s="25" t="s">
        <v>87</v>
      </c>
      <c r="C5" s="16" t="s">
        <v>88</v>
      </c>
      <c r="D5" s="16" t="s">
        <v>130</v>
      </c>
      <c r="E5" s="35" t="s">
        <v>131</v>
      </c>
      <c r="F5" s="16" t="s">
        <v>132</v>
      </c>
      <c r="G5" s="26" t="s">
        <v>89</v>
      </c>
      <c r="H5" s="36" t="s">
        <v>133</v>
      </c>
    </row>
    <row r="6" spans="1:8" ht="58" customHeight="1">
      <c r="A6" s="21">
        <v>2</v>
      </c>
      <c r="B6" s="28" t="s">
        <v>91</v>
      </c>
      <c r="C6" s="24" t="s">
        <v>92</v>
      </c>
      <c r="D6" s="24" t="s">
        <v>134</v>
      </c>
      <c r="E6" s="37" t="s">
        <v>135</v>
      </c>
      <c r="F6" s="24" t="s">
        <v>136</v>
      </c>
      <c r="G6" s="29" t="s">
        <v>89</v>
      </c>
      <c r="H6" s="38" t="s">
        <v>133</v>
      </c>
    </row>
    <row r="7" spans="1:8" ht="58" customHeight="1">
      <c r="A7" s="13">
        <v>3</v>
      </c>
      <c r="B7" s="25" t="s">
        <v>93</v>
      </c>
      <c r="C7" s="16" t="s">
        <v>94</v>
      </c>
      <c r="D7" s="16" t="s">
        <v>137</v>
      </c>
      <c r="E7" s="35" t="s">
        <v>138</v>
      </c>
      <c r="F7" s="16" t="s">
        <v>139</v>
      </c>
      <c r="G7" s="31" t="s">
        <v>95</v>
      </c>
      <c r="H7" s="36" t="s">
        <v>133</v>
      </c>
    </row>
    <row r="8" spans="1:8" ht="58" customHeight="1">
      <c r="A8" s="21">
        <v>4</v>
      </c>
      <c r="B8" s="28" t="s">
        <v>96</v>
      </c>
      <c r="C8" s="24" t="s">
        <v>97</v>
      </c>
      <c r="D8" s="24" t="s">
        <v>140</v>
      </c>
      <c r="E8" s="37" t="s">
        <v>141</v>
      </c>
      <c r="F8" s="24" t="s">
        <v>142</v>
      </c>
      <c r="G8" s="29" t="s">
        <v>89</v>
      </c>
      <c r="H8" s="38" t="s">
        <v>133</v>
      </c>
    </row>
    <row r="9" spans="1:8" ht="58" customHeight="1">
      <c r="A9" s="13">
        <v>5</v>
      </c>
      <c r="B9" s="25" t="s">
        <v>98</v>
      </c>
      <c r="C9" s="16" t="s">
        <v>99</v>
      </c>
      <c r="D9" s="16" t="s">
        <v>143</v>
      </c>
      <c r="E9" s="35" t="s">
        <v>131</v>
      </c>
      <c r="F9" s="16" t="s">
        <v>144</v>
      </c>
      <c r="G9" s="26" t="s">
        <v>89</v>
      </c>
      <c r="H9" s="36" t="s">
        <v>133</v>
      </c>
    </row>
    <row r="10" spans="1:8" ht="58" customHeight="1">
      <c r="A10" s="21">
        <v>6</v>
      </c>
      <c r="B10" s="28" t="s">
        <v>100</v>
      </c>
      <c r="C10" s="24" t="s">
        <v>101</v>
      </c>
      <c r="D10" s="24" t="s">
        <v>145</v>
      </c>
      <c r="E10" s="37" t="s">
        <v>146</v>
      </c>
      <c r="F10" s="24" t="s">
        <v>147</v>
      </c>
      <c r="G10" s="29" t="s">
        <v>89</v>
      </c>
      <c r="H10" s="38" t="s">
        <v>133</v>
      </c>
    </row>
    <row r="11" spans="1:8" ht="58" customHeight="1">
      <c r="A11" s="13">
        <v>7</v>
      </c>
      <c r="B11" s="25" t="s">
        <v>102</v>
      </c>
      <c r="C11" s="16" t="s">
        <v>103</v>
      </c>
      <c r="D11" s="16" t="s">
        <v>148</v>
      </c>
      <c r="E11" s="35" t="s">
        <v>138</v>
      </c>
      <c r="F11" s="16" t="s">
        <v>149</v>
      </c>
      <c r="G11" s="26" t="s">
        <v>89</v>
      </c>
      <c r="H11" s="31" t="s">
        <v>150</v>
      </c>
    </row>
    <row r="12" spans="1:8" ht="58" customHeight="1">
      <c r="A12" s="21">
        <v>8</v>
      </c>
      <c r="B12" s="28" t="s">
        <v>104</v>
      </c>
      <c r="C12" s="24" t="s">
        <v>105</v>
      </c>
      <c r="D12" s="24" t="s">
        <v>151</v>
      </c>
      <c r="E12" s="37" t="s">
        <v>138</v>
      </c>
      <c r="F12" s="24" t="s">
        <v>152</v>
      </c>
      <c r="G12" s="29" t="s">
        <v>89</v>
      </c>
      <c r="H12" s="32" t="s">
        <v>150</v>
      </c>
    </row>
    <row r="13" spans="1:8" ht="58" customHeight="1">
      <c r="A13" s="13">
        <v>9</v>
      </c>
      <c r="B13" s="25" t="s">
        <v>106</v>
      </c>
      <c r="C13" s="16" t="s">
        <v>107</v>
      </c>
      <c r="D13" s="16" t="s">
        <v>153</v>
      </c>
      <c r="E13" s="35" t="s">
        <v>138</v>
      </c>
      <c r="F13" s="16" t="s">
        <v>154</v>
      </c>
      <c r="G13" s="26" t="s">
        <v>89</v>
      </c>
      <c r="H13" s="36" t="s">
        <v>133</v>
      </c>
    </row>
    <row r="14" spans="1:8" ht="58" customHeight="1">
      <c r="A14" s="21">
        <v>10</v>
      </c>
      <c r="B14" s="28" t="s">
        <v>108</v>
      </c>
      <c r="C14" s="24" t="s">
        <v>109</v>
      </c>
      <c r="D14" s="24" t="s">
        <v>155</v>
      </c>
      <c r="E14" s="37" t="s">
        <v>138</v>
      </c>
      <c r="F14" s="24" t="s">
        <v>156</v>
      </c>
      <c r="G14" s="32" t="s">
        <v>95</v>
      </c>
      <c r="H14" s="38" t="s">
        <v>133</v>
      </c>
    </row>
    <row r="15" spans="1:8" ht="58" customHeight="1">
      <c r="A15" s="13">
        <v>11</v>
      </c>
      <c r="B15" s="25" t="s">
        <v>110</v>
      </c>
      <c r="C15" s="16" t="s">
        <v>111</v>
      </c>
      <c r="D15" s="16" t="s">
        <v>157</v>
      </c>
      <c r="E15" s="35" t="s">
        <v>138</v>
      </c>
      <c r="F15" s="16" t="s">
        <v>158</v>
      </c>
      <c r="G15" s="31" t="s">
        <v>95</v>
      </c>
      <c r="H15" s="36" t="s">
        <v>133</v>
      </c>
    </row>
    <row r="16" spans="1:8" ht="58" customHeight="1">
      <c r="A16" s="21">
        <v>12</v>
      </c>
      <c r="B16" s="28" t="s">
        <v>112</v>
      </c>
      <c r="C16" s="24" t="s">
        <v>113</v>
      </c>
      <c r="D16" s="24" t="s">
        <v>159</v>
      </c>
      <c r="E16" s="37" t="s">
        <v>131</v>
      </c>
      <c r="F16" s="24" t="s">
        <v>160</v>
      </c>
      <c r="G16" s="29" t="s">
        <v>89</v>
      </c>
      <c r="H16" s="38" t="s">
        <v>133</v>
      </c>
    </row>
    <row r="17" spans="1:8" ht="58" customHeight="1">
      <c r="A17" s="13">
        <v>13</v>
      </c>
      <c r="B17" s="25" t="s">
        <v>114</v>
      </c>
      <c r="C17" s="16" t="s">
        <v>115</v>
      </c>
      <c r="D17" s="16" t="s">
        <v>161</v>
      </c>
      <c r="E17" s="35" t="s">
        <v>138</v>
      </c>
      <c r="F17" s="16" t="s">
        <v>162</v>
      </c>
      <c r="G17" s="26" t="s">
        <v>89</v>
      </c>
      <c r="H17" s="36" t="s">
        <v>133</v>
      </c>
    </row>
    <row r="18" spans="1:8" ht="58" customHeight="1">
      <c r="A18" s="21">
        <v>14</v>
      </c>
      <c r="B18" s="28" t="s">
        <v>116</v>
      </c>
      <c r="C18" s="24" t="s">
        <v>117</v>
      </c>
      <c r="D18" s="24" t="s">
        <v>163</v>
      </c>
      <c r="E18" s="37" t="s">
        <v>138</v>
      </c>
      <c r="F18" s="24" t="s">
        <v>164</v>
      </c>
      <c r="G18" s="29" t="s">
        <v>89</v>
      </c>
      <c r="H18" s="38" t="s">
        <v>133</v>
      </c>
    </row>
    <row r="19" spans="1:8" ht="58" customHeight="1">
      <c r="A19" s="13">
        <v>15</v>
      </c>
      <c r="B19" s="25" t="s">
        <v>118</v>
      </c>
      <c r="C19" s="16" t="s">
        <v>119</v>
      </c>
      <c r="D19" s="16" t="s">
        <v>165</v>
      </c>
      <c r="E19" s="35" t="s">
        <v>138</v>
      </c>
      <c r="F19" s="16" t="s">
        <v>166</v>
      </c>
      <c r="G19" s="26" t="s">
        <v>89</v>
      </c>
      <c r="H19" s="31" t="s">
        <v>150</v>
      </c>
    </row>
    <row r="20" spans="1:8" ht="58" customHeight="1">
      <c r="A20" s="21">
        <v>16</v>
      </c>
      <c r="B20" s="28" t="s">
        <v>120</v>
      </c>
      <c r="C20" s="24" t="s">
        <v>121</v>
      </c>
      <c r="D20" s="24" t="s">
        <v>167</v>
      </c>
      <c r="E20" s="37" t="s">
        <v>138</v>
      </c>
      <c r="F20" s="24" t="s">
        <v>168</v>
      </c>
      <c r="G20" s="29" t="s">
        <v>89</v>
      </c>
      <c r="H20" s="32" t="s">
        <v>150</v>
      </c>
    </row>
    <row r="21" spans="1:8" ht="58" customHeight="1">
      <c r="A21" s="13">
        <v>17</v>
      </c>
      <c r="B21" s="25" t="s">
        <v>122</v>
      </c>
      <c r="C21" s="16" t="s">
        <v>123</v>
      </c>
      <c r="D21" s="16" t="s">
        <v>169</v>
      </c>
      <c r="E21" s="35" t="s">
        <v>170</v>
      </c>
      <c r="F21" s="16" t="s">
        <v>171</v>
      </c>
      <c r="G21" s="26" t="s">
        <v>89</v>
      </c>
      <c r="H21" s="31" t="s">
        <v>150</v>
      </c>
    </row>
  </sheetData>
  <autoFilter ref="A4:H21" xr:uid="{00000000-0009-0000-0000-000003000000}"/>
  <mergeCells count="2">
    <mergeCell ref="A2:H2"/>
    <mergeCell ref="A1:H1"/>
  </mergeCells>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J200"/>
  <sheetViews>
    <sheetView workbookViewId="0">
      <pane xSplit="1" ySplit="4" topLeftCell="B5" activePane="bottomRight" state="frozen"/>
      <selection pane="topRight"/>
      <selection pane="bottomLeft"/>
      <selection pane="bottomRight"/>
    </sheetView>
  </sheetViews>
  <sheetFormatPr defaultRowHeight="14.5"/>
  <cols>
    <col min="1" max="1" width="11" customWidth="1"/>
    <col min="2" max="2" width="10" customWidth="1"/>
    <col min="3" max="3" width="9" customWidth="1"/>
    <col min="4" max="5" width="40" customWidth="1"/>
    <col min="6" max="6" width="44" customWidth="1"/>
    <col min="7" max="8" width="13" customWidth="1"/>
    <col min="9" max="9" width="15" customWidth="1"/>
    <col min="10" max="10" width="26" customWidth="1"/>
  </cols>
  <sheetData>
    <row r="1" spans="1:10" ht="24" customHeight="1">
      <c r="A1" s="48" t="s">
        <v>172</v>
      </c>
      <c r="B1" s="42"/>
      <c r="C1" s="42"/>
      <c r="D1" s="42"/>
      <c r="E1" s="42"/>
      <c r="F1" s="42"/>
      <c r="G1" s="42"/>
      <c r="H1" s="42"/>
      <c r="I1" s="42"/>
      <c r="J1" s="42"/>
    </row>
    <row r="2" spans="1:10" ht="30" customHeight="1">
      <c r="A2" s="47" t="s">
        <v>173</v>
      </c>
      <c r="B2" s="42"/>
      <c r="C2" s="42"/>
      <c r="D2" s="42"/>
      <c r="E2" s="42"/>
      <c r="F2" s="42"/>
      <c r="G2" s="42"/>
      <c r="H2" s="42"/>
      <c r="I2" s="42"/>
      <c r="J2" s="42"/>
    </row>
    <row r="4" spans="1:10" ht="34" customHeight="1">
      <c r="A4" s="8" t="s">
        <v>174</v>
      </c>
      <c r="B4" s="8" t="s">
        <v>62</v>
      </c>
      <c r="C4" s="8" t="s">
        <v>175</v>
      </c>
      <c r="D4" s="8" t="s">
        <v>176</v>
      </c>
      <c r="E4" s="8" t="s">
        <v>177</v>
      </c>
      <c r="F4" s="8" t="s">
        <v>178</v>
      </c>
      <c r="G4" s="8" t="s">
        <v>179</v>
      </c>
      <c r="H4" s="8" t="s">
        <v>180</v>
      </c>
      <c r="I4" s="8" t="s">
        <v>181</v>
      </c>
      <c r="J4" s="8" t="s">
        <v>182</v>
      </c>
    </row>
    <row r="5" spans="1:10" ht="20" customHeight="1">
      <c r="A5" s="11"/>
      <c r="B5" s="39"/>
      <c r="C5" s="39"/>
      <c r="D5" s="11"/>
      <c r="E5" s="11"/>
      <c r="F5" s="11"/>
      <c r="G5" s="39"/>
      <c r="H5" s="10"/>
      <c r="I5" s="39"/>
      <c r="J5" s="15" t="str">
        <f t="shared" ref="J5:J36" si="0">IF($A5="","",IF($I5&lt;&gt;"","Closed — re-verified",IF($F5&lt;&gt;"","Fix applied — not re-verified","Open")))</f>
        <v/>
      </c>
    </row>
    <row r="6" spans="1:10" ht="20" customHeight="1">
      <c r="A6" s="19"/>
      <c r="B6" s="40"/>
      <c r="C6" s="40"/>
      <c r="D6" s="19"/>
      <c r="E6" s="19"/>
      <c r="F6" s="19"/>
      <c r="G6" s="40"/>
      <c r="H6" s="18"/>
      <c r="I6" s="40"/>
      <c r="J6" s="23" t="str">
        <f t="shared" si="0"/>
        <v/>
      </c>
    </row>
    <row r="7" spans="1:10" ht="20" customHeight="1">
      <c r="A7" s="11"/>
      <c r="B7" s="39"/>
      <c r="C7" s="39"/>
      <c r="D7" s="11"/>
      <c r="E7" s="11"/>
      <c r="F7" s="11"/>
      <c r="G7" s="39"/>
      <c r="H7" s="10"/>
      <c r="I7" s="39"/>
      <c r="J7" s="15" t="str">
        <f t="shared" si="0"/>
        <v/>
      </c>
    </row>
    <row r="8" spans="1:10" ht="20" customHeight="1">
      <c r="A8" s="19"/>
      <c r="B8" s="40"/>
      <c r="C8" s="40"/>
      <c r="D8" s="19"/>
      <c r="E8" s="19"/>
      <c r="F8" s="19"/>
      <c r="G8" s="40"/>
      <c r="H8" s="18"/>
      <c r="I8" s="40"/>
      <c r="J8" s="23" t="str">
        <f t="shared" si="0"/>
        <v/>
      </c>
    </row>
    <row r="9" spans="1:10" ht="20" customHeight="1">
      <c r="A9" s="11"/>
      <c r="B9" s="39"/>
      <c r="C9" s="39"/>
      <c r="D9" s="11"/>
      <c r="E9" s="11"/>
      <c r="F9" s="11"/>
      <c r="G9" s="39"/>
      <c r="H9" s="10"/>
      <c r="I9" s="39"/>
      <c r="J9" s="15" t="str">
        <f t="shared" si="0"/>
        <v/>
      </c>
    </row>
    <row r="10" spans="1:10" ht="20" customHeight="1">
      <c r="A10" s="19"/>
      <c r="B10" s="40"/>
      <c r="C10" s="40"/>
      <c r="D10" s="19"/>
      <c r="E10" s="19"/>
      <c r="F10" s="19"/>
      <c r="G10" s="40"/>
      <c r="H10" s="18"/>
      <c r="I10" s="40"/>
      <c r="J10" s="23" t="str">
        <f t="shared" si="0"/>
        <v/>
      </c>
    </row>
    <row r="11" spans="1:10" ht="20" customHeight="1">
      <c r="A11" s="11"/>
      <c r="B11" s="39"/>
      <c r="C11" s="39"/>
      <c r="D11" s="11"/>
      <c r="E11" s="11"/>
      <c r="F11" s="11"/>
      <c r="G11" s="39"/>
      <c r="H11" s="10"/>
      <c r="I11" s="39"/>
      <c r="J11" s="15" t="str">
        <f t="shared" si="0"/>
        <v/>
      </c>
    </row>
    <row r="12" spans="1:10" ht="20" customHeight="1">
      <c r="A12" s="19"/>
      <c r="B12" s="40"/>
      <c r="C12" s="40"/>
      <c r="D12" s="19"/>
      <c r="E12" s="19"/>
      <c r="F12" s="19"/>
      <c r="G12" s="40"/>
      <c r="H12" s="18"/>
      <c r="I12" s="40"/>
      <c r="J12" s="23" t="str">
        <f t="shared" si="0"/>
        <v/>
      </c>
    </row>
    <row r="13" spans="1:10" ht="20" customHeight="1">
      <c r="A13" s="11"/>
      <c r="B13" s="39"/>
      <c r="C13" s="39"/>
      <c r="D13" s="11"/>
      <c r="E13" s="11"/>
      <c r="F13" s="11"/>
      <c r="G13" s="39"/>
      <c r="H13" s="10"/>
      <c r="I13" s="39"/>
      <c r="J13" s="15" t="str">
        <f t="shared" si="0"/>
        <v/>
      </c>
    </row>
    <row r="14" spans="1:10" ht="20" customHeight="1">
      <c r="A14" s="19"/>
      <c r="B14" s="40"/>
      <c r="C14" s="40"/>
      <c r="D14" s="19"/>
      <c r="E14" s="19"/>
      <c r="F14" s="19"/>
      <c r="G14" s="40"/>
      <c r="H14" s="18"/>
      <c r="I14" s="40"/>
      <c r="J14" s="23" t="str">
        <f t="shared" si="0"/>
        <v/>
      </c>
    </row>
    <row r="15" spans="1:10" ht="20" customHeight="1">
      <c r="A15" s="11"/>
      <c r="B15" s="39"/>
      <c r="C15" s="39"/>
      <c r="D15" s="11"/>
      <c r="E15" s="11"/>
      <c r="F15" s="11"/>
      <c r="G15" s="39"/>
      <c r="H15" s="10"/>
      <c r="I15" s="39"/>
      <c r="J15" s="15" t="str">
        <f t="shared" si="0"/>
        <v/>
      </c>
    </row>
    <row r="16" spans="1:10" ht="20" customHeight="1">
      <c r="A16" s="19"/>
      <c r="B16" s="40"/>
      <c r="C16" s="40"/>
      <c r="D16" s="19"/>
      <c r="E16" s="19"/>
      <c r="F16" s="19"/>
      <c r="G16" s="40"/>
      <c r="H16" s="18"/>
      <c r="I16" s="40"/>
      <c r="J16" s="23" t="str">
        <f t="shared" si="0"/>
        <v/>
      </c>
    </row>
    <row r="17" spans="1:10" ht="20" customHeight="1">
      <c r="A17" s="11"/>
      <c r="B17" s="39"/>
      <c r="C17" s="39"/>
      <c r="D17" s="11"/>
      <c r="E17" s="11"/>
      <c r="F17" s="11"/>
      <c r="G17" s="39"/>
      <c r="H17" s="10"/>
      <c r="I17" s="39"/>
      <c r="J17" s="15" t="str">
        <f t="shared" si="0"/>
        <v/>
      </c>
    </row>
    <row r="18" spans="1:10" ht="20" customHeight="1">
      <c r="A18" s="19"/>
      <c r="B18" s="40"/>
      <c r="C18" s="40"/>
      <c r="D18" s="19"/>
      <c r="E18" s="19"/>
      <c r="F18" s="19"/>
      <c r="G18" s="40"/>
      <c r="H18" s="18"/>
      <c r="I18" s="40"/>
      <c r="J18" s="23" t="str">
        <f t="shared" si="0"/>
        <v/>
      </c>
    </row>
    <row r="19" spans="1:10" ht="20" customHeight="1">
      <c r="A19" s="11"/>
      <c r="B19" s="39"/>
      <c r="C19" s="39"/>
      <c r="D19" s="11"/>
      <c r="E19" s="11"/>
      <c r="F19" s="11"/>
      <c r="G19" s="39"/>
      <c r="H19" s="10"/>
      <c r="I19" s="39"/>
      <c r="J19" s="15" t="str">
        <f t="shared" si="0"/>
        <v/>
      </c>
    </row>
    <row r="20" spans="1:10" ht="20" customHeight="1">
      <c r="A20" s="19"/>
      <c r="B20" s="40"/>
      <c r="C20" s="40"/>
      <c r="D20" s="19"/>
      <c r="E20" s="19"/>
      <c r="F20" s="19"/>
      <c r="G20" s="40"/>
      <c r="H20" s="18"/>
      <c r="I20" s="40"/>
      <c r="J20" s="23" t="str">
        <f t="shared" si="0"/>
        <v/>
      </c>
    </row>
    <row r="21" spans="1:10" ht="20" customHeight="1">
      <c r="A21" s="11"/>
      <c r="B21" s="39"/>
      <c r="C21" s="39"/>
      <c r="D21" s="11"/>
      <c r="E21" s="11"/>
      <c r="F21" s="11"/>
      <c r="G21" s="39"/>
      <c r="H21" s="10"/>
      <c r="I21" s="39"/>
      <c r="J21" s="15" t="str">
        <f t="shared" si="0"/>
        <v/>
      </c>
    </row>
    <row r="22" spans="1:10" ht="20" customHeight="1">
      <c r="A22" s="19"/>
      <c r="B22" s="40"/>
      <c r="C22" s="40"/>
      <c r="D22" s="19"/>
      <c r="E22" s="19"/>
      <c r="F22" s="19"/>
      <c r="G22" s="40"/>
      <c r="H22" s="18"/>
      <c r="I22" s="40"/>
      <c r="J22" s="23" t="str">
        <f t="shared" si="0"/>
        <v/>
      </c>
    </row>
    <row r="23" spans="1:10" ht="20" customHeight="1">
      <c r="A23" s="11"/>
      <c r="B23" s="39"/>
      <c r="C23" s="39"/>
      <c r="D23" s="11"/>
      <c r="E23" s="11"/>
      <c r="F23" s="11"/>
      <c r="G23" s="39"/>
      <c r="H23" s="10"/>
      <c r="I23" s="39"/>
      <c r="J23" s="15" t="str">
        <f t="shared" si="0"/>
        <v/>
      </c>
    </row>
    <row r="24" spans="1:10" ht="20" customHeight="1">
      <c r="A24" s="19"/>
      <c r="B24" s="40"/>
      <c r="C24" s="40"/>
      <c r="D24" s="19"/>
      <c r="E24" s="19"/>
      <c r="F24" s="19"/>
      <c r="G24" s="40"/>
      <c r="H24" s="18"/>
      <c r="I24" s="40"/>
      <c r="J24" s="23" t="str">
        <f t="shared" si="0"/>
        <v/>
      </c>
    </row>
    <row r="25" spans="1:10" ht="20" customHeight="1">
      <c r="A25" s="11"/>
      <c r="B25" s="39"/>
      <c r="C25" s="39"/>
      <c r="D25" s="11"/>
      <c r="E25" s="11"/>
      <c r="F25" s="11"/>
      <c r="G25" s="39"/>
      <c r="H25" s="10"/>
      <c r="I25" s="39"/>
      <c r="J25" s="15" t="str">
        <f t="shared" si="0"/>
        <v/>
      </c>
    </row>
    <row r="26" spans="1:10" ht="20" customHeight="1">
      <c r="A26" s="19"/>
      <c r="B26" s="40"/>
      <c r="C26" s="40"/>
      <c r="D26" s="19"/>
      <c r="E26" s="19"/>
      <c r="F26" s="19"/>
      <c r="G26" s="40"/>
      <c r="H26" s="18"/>
      <c r="I26" s="40"/>
      <c r="J26" s="23" t="str">
        <f t="shared" si="0"/>
        <v/>
      </c>
    </row>
    <row r="27" spans="1:10" ht="20" customHeight="1">
      <c r="A27" s="11"/>
      <c r="B27" s="39"/>
      <c r="C27" s="39"/>
      <c r="D27" s="11"/>
      <c r="E27" s="11"/>
      <c r="F27" s="11"/>
      <c r="G27" s="39"/>
      <c r="H27" s="10"/>
      <c r="I27" s="39"/>
      <c r="J27" s="15" t="str">
        <f t="shared" si="0"/>
        <v/>
      </c>
    </row>
    <row r="28" spans="1:10" ht="20" customHeight="1">
      <c r="A28" s="19"/>
      <c r="B28" s="40"/>
      <c r="C28" s="40"/>
      <c r="D28" s="19"/>
      <c r="E28" s="19"/>
      <c r="F28" s="19"/>
      <c r="G28" s="40"/>
      <c r="H28" s="18"/>
      <c r="I28" s="40"/>
      <c r="J28" s="23" t="str">
        <f t="shared" si="0"/>
        <v/>
      </c>
    </row>
    <row r="29" spans="1:10" ht="20" customHeight="1">
      <c r="A29" s="11"/>
      <c r="B29" s="39"/>
      <c r="C29" s="39"/>
      <c r="D29" s="11"/>
      <c r="E29" s="11"/>
      <c r="F29" s="11"/>
      <c r="G29" s="39"/>
      <c r="H29" s="10"/>
      <c r="I29" s="39"/>
      <c r="J29" s="15" t="str">
        <f t="shared" si="0"/>
        <v/>
      </c>
    </row>
    <row r="30" spans="1:10" ht="20" customHeight="1">
      <c r="A30" s="19"/>
      <c r="B30" s="40"/>
      <c r="C30" s="40"/>
      <c r="D30" s="19"/>
      <c r="E30" s="19"/>
      <c r="F30" s="19"/>
      <c r="G30" s="40"/>
      <c r="H30" s="18"/>
      <c r="I30" s="40"/>
      <c r="J30" s="23" t="str">
        <f t="shared" si="0"/>
        <v/>
      </c>
    </row>
    <row r="31" spans="1:10" ht="20" customHeight="1">
      <c r="A31" s="11"/>
      <c r="B31" s="39"/>
      <c r="C31" s="39"/>
      <c r="D31" s="11"/>
      <c r="E31" s="11"/>
      <c r="F31" s="11"/>
      <c r="G31" s="39"/>
      <c r="H31" s="10"/>
      <c r="I31" s="39"/>
      <c r="J31" s="15" t="str">
        <f t="shared" si="0"/>
        <v/>
      </c>
    </row>
    <row r="32" spans="1:10" ht="20" customHeight="1">
      <c r="A32" s="19"/>
      <c r="B32" s="40"/>
      <c r="C32" s="40"/>
      <c r="D32" s="19"/>
      <c r="E32" s="19"/>
      <c r="F32" s="19"/>
      <c r="G32" s="40"/>
      <c r="H32" s="18"/>
      <c r="I32" s="40"/>
      <c r="J32" s="23" t="str">
        <f t="shared" si="0"/>
        <v/>
      </c>
    </row>
    <row r="33" spans="1:10" ht="20" customHeight="1">
      <c r="A33" s="11"/>
      <c r="B33" s="39"/>
      <c r="C33" s="39"/>
      <c r="D33" s="11"/>
      <c r="E33" s="11"/>
      <c r="F33" s="11"/>
      <c r="G33" s="39"/>
      <c r="H33" s="10"/>
      <c r="I33" s="39"/>
      <c r="J33" s="15" t="str">
        <f t="shared" si="0"/>
        <v/>
      </c>
    </row>
    <row r="34" spans="1:10" ht="20" customHeight="1">
      <c r="A34" s="19"/>
      <c r="B34" s="40"/>
      <c r="C34" s="40"/>
      <c r="D34" s="19"/>
      <c r="E34" s="19"/>
      <c r="F34" s="19"/>
      <c r="G34" s="40"/>
      <c r="H34" s="18"/>
      <c r="I34" s="40"/>
      <c r="J34" s="23" t="str">
        <f t="shared" si="0"/>
        <v/>
      </c>
    </row>
    <row r="35" spans="1:10" ht="20" customHeight="1">
      <c r="A35" s="11"/>
      <c r="B35" s="39"/>
      <c r="C35" s="39"/>
      <c r="D35" s="11"/>
      <c r="E35" s="11"/>
      <c r="F35" s="11"/>
      <c r="G35" s="39"/>
      <c r="H35" s="10"/>
      <c r="I35" s="39"/>
      <c r="J35" s="15" t="str">
        <f t="shared" si="0"/>
        <v/>
      </c>
    </row>
    <row r="36" spans="1:10" ht="20" customHeight="1">
      <c r="A36" s="19"/>
      <c r="B36" s="40"/>
      <c r="C36" s="40"/>
      <c r="D36" s="19"/>
      <c r="E36" s="19"/>
      <c r="F36" s="19"/>
      <c r="G36" s="40"/>
      <c r="H36" s="18"/>
      <c r="I36" s="40"/>
      <c r="J36" s="23" t="str">
        <f t="shared" si="0"/>
        <v/>
      </c>
    </row>
    <row r="37" spans="1:10" ht="20" customHeight="1">
      <c r="A37" s="11"/>
      <c r="B37" s="39"/>
      <c r="C37" s="39"/>
      <c r="D37" s="11"/>
      <c r="E37" s="11"/>
      <c r="F37" s="11"/>
      <c r="G37" s="39"/>
      <c r="H37" s="10"/>
      <c r="I37" s="39"/>
      <c r="J37" s="15" t="str">
        <f t="shared" ref="J37:J68" si="1">IF($A37="","",IF($I37&lt;&gt;"","Closed — re-verified",IF($F37&lt;&gt;"","Fix applied — not re-verified","Open")))</f>
        <v/>
      </c>
    </row>
    <row r="38" spans="1:10" ht="20" customHeight="1">
      <c r="A38" s="19"/>
      <c r="B38" s="40"/>
      <c r="C38" s="40"/>
      <c r="D38" s="19"/>
      <c r="E38" s="19"/>
      <c r="F38" s="19"/>
      <c r="G38" s="40"/>
      <c r="H38" s="18"/>
      <c r="I38" s="40"/>
      <c r="J38" s="23" t="str">
        <f t="shared" si="1"/>
        <v/>
      </c>
    </row>
    <row r="39" spans="1:10" ht="20" customHeight="1">
      <c r="A39" s="11"/>
      <c r="B39" s="39"/>
      <c r="C39" s="39"/>
      <c r="D39" s="11"/>
      <c r="E39" s="11"/>
      <c r="F39" s="11"/>
      <c r="G39" s="39"/>
      <c r="H39" s="10"/>
      <c r="I39" s="39"/>
      <c r="J39" s="15" t="str">
        <f t="shared" si="1"/>
        <v/>
      </c>
    </row>
    <row r="40" spans="1:10" ht="20" customHeight="1">
      <c r="A40" s="19"/>
      <c r="B40" s="40"/>
      <c r="C40" s="40"/>
      <c r="D40" s="19"/>
      <c r="E40" s="19"/>
      <c r="F40" s="19"/>
      <c r="G40" s="40"/>
      <c r="H40" s="18"/>
      <c r="I40" s="40"/>
      <c r="J40" s="23" t="str">
        <f t="shared" si="1"/>
        <v/>
      </c>
    </row>
    <row r="41" spans="1:10" ht="20" customHeight="1">
      <c r="A41" s="11"/>
      <c r="B41" s="39"/>
      <c r="C41" s="39"/>
      <c r="D41" s="11"/>
      <c r="E41" s="11"/>
      <c r="F41" s="11"/>
      <c r="G41" s="39"/>
      <c r="H41" s="10"/>
      <c r="I41" s="39"/>
      <c r="J41" s="15" t="str">
        <f t="shared" si="1"/>
        <v/>
      </c>
    </row>
    <row r="42" spans="1:10" ht="20" customHeight="1">
      <c r="A42" s="19"/>
      <c r="B42" s="40"/>
      <c r="C42" s="40"/>
      <c r="D42" s="19"/>
      <c r="E42" s="19"/>
      <c r="F42" s="19"/>
      <c r="G42" s="40"/>
      <c r="H42" s="18"/>
      <c r="I42" s="40"/>
      <c r="J42" s="23" t="str">
        <f t="shared" si="1"/>
        <v/>
      </c>
    </row>
    <row r="43" spans="1:10" ht="20" customHeight="1">
      <c r="A43" s="11"/>
      <c r="B43" s="39"/>
      <c r="C43" s="39"/>
      <c r="D43" s="11"/>
      <c r="E43" s="11"/>
      <c r="F43" s="11"/>
      <c r="G43" s="39"/>
      <c r="H43" s="10"/>
      <c r="I43" s="39"/>
      <c r="J43" s="15" t="str">
        <f t="shared" si="1"/>
        <v/>
      </c>
    </row>
    <row r="44" spans="1:10" ht="20" customHeight="1">
      <c r="A44" s="19"/>
      <c r="B44" s="40"/>
      <c r="C44" s="40"/>
      <c r="D44" s="19"/>
      <c r="E44" s="19"/>
      <c r="F44" s="19"/>
      <c r="G44" s="40"/>
      <c r="H44" s="18"/>
      <c r="I44" s="40"/>
      <c r="J44" s="23" t="str">
        <f t="shared" si="1"/>
        <v/>
      </c>
    </row>
    <row r="45" spans="1:10" ht="20" customHeight="1">
      <c r="A45" s="11"/>
      <c r="B45" s="39"/>
      <c r="C45" s="39"/>
      <c r="D45" s="11"/>
      <c r="E45" s="11"/>
      <c r="F45" s="11"/>
      <c r="G45" s="39"/>
      <c r="H45" s="10"/>
      <c r="I45" s="39"/>
      <c r="J45" s="15" t="str">
        <f t="shared" si="1"/>
        <v/>
      </c>
    </row>
    <row r="46" spans="1:10" ht="20" customHeight="1">
      <c r="A46" s="19"/>
      <c r="B46" s="40"/>
      <c r="C46" s="40"/>
      <c r="D46" s="19"/>
      <c r="E46" s="19"/>
      <c r="F46" s="19"/>
      <c r="G46" s="40"/>
      <c r="H46" s="18"/>
      <c r="I46" s="40"/>
      <c r="J46" s="23" t="str">
        <f t="shared" si="1"/>
        <v/>
      </c>
    </row>
    <row r="47" spans="1:10" ht="20" customHeight="1">
      <c r="A47" s="11"/>
      <c r="B47" s="39"/>
      <c r="C47" s="39"/>
      <c r="D47" s="11"/>
      <c r="E47" s="11"/>
      <c r="F47" s="11"/>
      <c r="G47" s="39"/>
      <c r="H47" s="10"/>
      <c r="I47" s="39"/>
      <c r="J47" s="15" t="str">
        <f t="shared" si="1"/>
        <v/>
      </c>
    </row>
    <row r="48" spans="1:10" ht="20" customHeight="1">
      <c r="A48" s="19"/>
      <c r="B48" s="40"/>
      <c r="C48" s="40"/>
      <c r="D48" s="19"/>
      <c r="E48" s="19"/>
      <c r="F48" s="19"/>
      <c r="G48" s="40"/>
      <c r="H48" s="18"/>
      <c r="I48" s="40"/>
      <c r="J48" s="23" t="str">
        <f t="shared" si="1"/>
        <v/>
      </c>
    </row>
    <row r="49" spans="1:10" ht="20" customHeight="1">
      <c r="A49" s="11"/>
      <c r="B49" s="39"/>
      <c r="C49" s="39"/>
      <c r="D49" s="11"/>
      <c r="E49" s="11"/>
      <c r="F49" s="11"/>
      <c r="G49" s="39"/>
      <c r="H49" s="10"/>
      <c r="I49" s="39"/>
      <c r="J49" s="15" t="str">
        <f t="shared" si="1"/>
        <v/>
      </c>
    </row>
    <row r="50" spans="1:10" ht="20" customHeight="1">
      <c r="A50" s="19"/>
      <c r="B50" s="40"/>
      <c r="C50" s="40"/>
      <c r="D50" s="19"/>
      <c r="E50" s="19"/>
      <c r="F50" s="19"/>
      <c r="G50" s="40"/>
      <c r="H50" s="18"/>
      <c r="I50" s="40"/>
      <c r="J50" s="23" t="str">
        <f t="shared" si="1"/>
        <v/>
      </c>
    </row>
    <row r="51" spans="1:10" ht="20" customHeight="1">
      <c r="A51" s="11"/>
      <c r="B51" s="39"/>
      <c r="C51" s="39"/>
      <c r="D51" s="11"/>
      <c r="E51" s="11"/>
      <c r="F51" s="11"/>
      <c r="G51" s="39"/>
      <c r="H51" s="10"/>
      <c r="I51" s="39"/>
      <c r="J51" s="15" t="str">
        <f t="shared" si="1"/>
        <v/>
      </c>
    </row>
    <row r="52" spans="1:10" ht="20" customHeight="1">
      <c r="A52" s="19"/>
      <c r="B52" s="40"/>
      <c r="C52" s="40"/>
      <c r="D52" s="19"/>
      <c r="E52" s="19"/>
      <c r="F52" s="19"/>
      <c r="G52" s="40"/>
      <c r="H52" s="18"/>
      <c r="I52" s="40"/>
      <c r="J52" s="23" t="str">
        <f t="shared" si="1"/>
        <v/>
      </c>
    </row>
    <row r="53" spans="1:10" ht="20" customHeight="1">
      <c r="A53" s="11"/>
      <c r="B53" s="39"/>
      <c r="C53" s="39"/>
      <c r="D53" s="11"/>
      <c r="E53" s="11"/>
      <c r="F53" s="11"/>
      <c r="G53" s="39"/>
      <c r="H53" s="10"/>
      <c r="I53" s="39"/>
      <c r="J53" s="15" t="str">
        <f t="shared" si="1"/>
        <v/>
      </c>
    </row>
    <row r="54" spans="1:10" ht="20" customHeight="1">
      <c r="A54" s="19"/>
      <c r="B54" s="40"/>
      <c r="C54" s="40"/>
      <c r="D54" s="19"/>
      <c r="E54" s="19"/>
      <c r="F54" s="19"/>
      <c r="G54" s="40"/>
      <c r="H54" s="18"/>
      <c r="I54" s="40"/>
      <c r="J54" s="23" t="str">
        <f t="shared" si="1"/>
        <v/>
      </c>
    </row>
    <row r="55" spans="1:10" ht="20" customHeight="1">
      <c r="A55" s="11"/>
      <c r="B55" s="39"/>
      <c r="C55" s="39"/>
      <c r="D55" s="11"/>
      <c r="E55" s="11"/>
      <c r="F55" s="11"/>
      <c r="G55" s="39"/>
      <c r="H55" s="10"/>
      <c r="I55" s="39"/>
      <c r="J55" s="15" t="str">
        <f t="shared" si="1"/>
        <v/>
      </c>
    </row>
    <row r="56" spans="1:10" ht="20" customHeight="1">
      <c r="A56" s="19"/>
      <c r="B56" s="40"/>
      <c r="C56" s="40"/>
      <c r="D56" s="19"/>
      <c r="E56" s="19"/>
      <c r="F56" s="19"/>
      <c r="G56" s="40"/>
      <c r="H56" s="18"/>
      <c r="I56" s="40"/>
      <c r="J56" s="23" t="str">
        <f t="shared" si="1"/>
        <v/>
      </c>
    </row>
    <row r="57" spans="1:10" ht="20" customHeight="1">
      <c r="A57" s="11"/>
      <c r="B57" s="39"/>
      <c r="C57" s="39"/>
      <c r="D57" s="11"/>
      <c r="E57" s="11"/>
      <c r="F57" s="11"/>
      <c r="G57" s="39"/>
      <c r="H57" s="10"/>
      <c r="I57" s="39"/>
      <c r="J57" s="15" t="str">
        <f t="shared" si="1"/>
        <v/>
      </c>
    </row>
    <row r="58" spans="1:10" ht="20" customHeight="1">
      <c r="A58" s="19"/>
      <c r="B58" s="40"/>
      <c r="C58" s="40"/>
      <c r="D58" s="19"/>
      <c r="E58" s="19"/>
      <c r="F58" s="19"/>
      <c r="G58" s="40"/>
      <c r="H58" s="18"/>
      <c r="I58" s="40"/>
      <c r="J58" s="23" t="str">
        <f t="shared" si="1"/>
        <v/>
      </c>
    </row>
    <row r="59" spans="1:10" ht="20" customHeight="1">
      <c r="A59" s="11"/>
      <c r="B59" s="39"/>
      <c r="C59" s="39"/>
      <c r="D59" s="11"/>
      <c r="E59" s="11"/>
      <c r="F59" s="11"/>
      <c r="G59" s="39"/>
      <c r="H59" s="10"/>
      <c r="I59" s="39"/>
      <c r="J59" s="15" t="str">
        <f t="shared" si="1"/>
        <v/>
      </c>
    </row>
    <row r="60" spans="1:10" ht="20" customHeight="1">
      <c r="A60" s="19"/>
      <c r="B60" s="40"/>
      <c r="C60" s="40"/>
      <c r="D60" s="19"/>
      <c r="E60" s="19"/>
      <c r="F60" s="19"/>
      <c r="G60" s="40"/>
      <c r="H60" s="18"/>
      <c r="I60" s="40"/>
      <c r="J60" s="23" t="str">
        <f t="shared" si="1"/>
        <v/>
      </c>
    </row>
    <row r="61" spans="1:10" ht="20" customHeight="1">
      <c r="A61" s="11"/>
      <c r="B61" s="39"/>
      <c r="C61" s="39"/>
      <c r="D61" s="11"/>
      <c r="E61" s="11"/>
      <c r="F61" s="11"/>
      <c r="G61" s="39"/>
      <c r="H61" s="10"/>
      <c r="I61" s="39"/>
      <c r="J61" s="15" t="str">
        <f t="shared" si="1"/>
        <v/>
      </c>
    </row>
    <row r="62" spans="1:10" ht="20" customHeight="1">
      <c r="A62" s="19"/>
      <c r="B62" s="40"/>
      <c r="C62" s="40"/>
      <c r="D62" s="19"/>
      <c r="E62" s="19"/>
      <c r="F62" s="19"/>
      <c r="G62" s="40"/>
      <c r="H62" s="18"/>
      <c r="I62" s="40"/>
      <c r="J62" s="23" t="str">
        <f t="shared" si="1"/>
        <v/>
      </c>
    </row>
    <row r="63" spans="1:10" ht="20" customHeight="1">
      <c r="A63" s="11"/>
      <c r="B63" s="39"/>
      <c r="C63" s="39"/>
      <c r="D63" s="11"/>
      <c r="E63" s="11"/>
      <c r="F63" s="11"/>
      <c r="G63" s="39"/>
      <c r="H63" s="10"/>
      <c r="I63" s="39"/>
      <c r="J63" s="15" t="str">
        <f t="shared" si="1"/>
        <v/>
      </c>
    </row>
    <row r="64" spans="1:10" ht="20" customHeight="1">
      <c r="A64" s="19"/>
      <c r="B64" s="40"/>
      <c r="C64" s="40"/>
      <c r="D64" s="19"/>
      <c r="E64" s="19"/>
      <c r="F64" s="19"/>
      <c r="G64" s="40"/>
      <c r="H64" s="18"/>
      <c r="I64" s="40"/>
      <c r="J64" s="23" t="str">
        <f t="shared" si="1"/>
        <v/>
      </c>
    </row>
    <row r="65" spans="1:10" ht="20" customHeight="1">
      <c r="A65" s="11"/>
      <c r="B65" s="39"/>
      <c r="C65" s="39"/>
      <c r="D65" s="11"/>
      <c r="E65" s="11"/>
      <c r="F65" s="11"/>
      <c r="G65" s="39"/>
      <c r="H65" s="10"/>
      <c r="I65" s="39"/>
      <c r="J65" s="15" t="str">
        <f t="shared" si="1"/>
        <v/>
      </c>
    </row>
    <row r="66" spans="1:10" ht="20" customHeight="1">
      <c r="A66" s="19"/>
      <c r="B66" s="40"/>
      <c r="C66" s="40"/>
      <c r="D66" s="19"/>
      <c r="E66" s="19"/>
      <c r="F66" s="19"/>
      <c r="G66" s="40"/>
      <c r="H66" s="18"/>
      <c r="I66" s="40"/>
      <c r="J66" s="23" t="str">
        <f t="shared" si="1"/>
        <v/>
      </c>
    </row>
    <row r="67" spans="1:10" ht="20" customHeight="1">
      <c r="A67" s="11"/>
      <c r="B67" s="39"/>
      <c r="C67" s="39"/>
      <c r="D67" s="11"/>
      <c r="E67" s="11"/>
      <c r="F67" s="11"/>
      <c r="G67" s="39"/>
      <c r="H67" s="10"/>
      <c r="I67" s="39"/>
      <c r="J67" s="15" t="str">
        <f t="shared" si="1"/>
        <v/>
      </c>
    </row>
    <row r="68" spans="1:10" ht="20" customHeight="1">
      <c r="A68" s="19"/>
      <c r="B68" s="40"/>
      <c r="C68" s="40"/>
      <c r="D68" s="19"/>
      <c r="E68" s="19"/>
      <c r="F68" s="19"/>
      <c r="G68" s="40"/>
      <c r="H68" s="18"/>
      <c r="I68" s="40"/>
      <c r="J68" s="23" t="str">
        <f t="shared" si="1"/>
        <v/>
      </c>
    </row>
    <row r="69" spans="1:10" ht="20" customHeight="1">
      <c r="A69" s="11"/>
      <c r="B69" s="39"/>
      <c r="C69" s="39"/>
      <c r="D69" s="11"/>
      <c r="E69" s="11"/>
      <c r="F69" s="11"/>
      <c r="G69" s="39"/>
      <c r="H69" s="10"/>
      <c r="I69" s="39"/>
      <c r="J69" s="15" t="str">
        <f t="shared" ref="J69:J100" si="2">IF($A69="","",IF($I69&lt;&gt;"","Closed — re-verified",IF($F69&lt;&gt;"","Fix applied — not re-verified","Open")))</f>
        <v/>
      </c>
    </row>
    <row r="70" spans="1:10" ht="20" customHeight="1">
      <c r="A70" s="19"/>
      <c r="B70" s="40"/>
      <c r="C70" s="40"/>
      <c r="D70" s="19"/>
      <c r="E70" s="19"/>
      <c r="F70" s="19"/>
      <c r="G70" s="40"/>
      <c r="H70" s="18"/>
      <c r="I70" s="40"/>
      <c r="J70" s="23" t="str">
        <f t="shared" si="2"/>
        <v/>
      </c>
    </row>
    <row r="71" spans="1:10" ht="20" customHeight="1">
      <c r="A71" s="11"/>
      <c r="B71" s="39"/>
      <c r="C71" s="39"/>
      <c r="D71" s="11"/>
      <c r="E71" s="11"/>
      <c r="F71" s="11"/>
      <c r="G71" s="39"/>
      <c r="H71" s="10"/>
      <c r="I71" s="39"/>
      <c r="J71" s="15" t="str">
        <f t="shared" si="2"/>
        <v/>
      </c>
    </row>
    <row r="72" spans="1:10" ht="20" customHeight="1">
      <c r="A72" s="19"/>
      <c r="B72" s="40"/>
      <c r="C72" s="40"/>
      <c r="D72" s="19"/>
      <c r="E72" s="19"/>
      <c r="F72" s="19"/>
      <c r="G72" s="40"/>
      <c r="H72" s="18"/>
      <c r="I72" s="40"/>
      <c r="J72" s="23" t="str">
        <f t="shared" si="2"/>
        <v/>
      </c>
    </row>
    <row r="73" spans="1:10" ht="20" customHeight="1">
      <c r="A73" s="11"/>
      <c r="B73" s="39"/>
      <c r="C73" s="39"/>
      <c r="D73" s="11"/>
      <c r="E73" s="11"/>
      <c r="F73" s="11"/>
      <c r="G73" s="39"/>
      <c r="H73" s="10"/>
      <c r="I73" s="39"/>
      <c r="J73" s="15" t="str">
        <f t="shared" si="2"/>
        <v/>
      </c>
    </row>
    <row r="74" spans="1:10" ht="20" customHeight="1">
      <c r="A74" s="19"/>
      <c r="B74" s="40"/>
      <c r="C74" s="40"/>
      <c r="D74" s="19"/>
      <c r="E74" s="19"/>
      <c r="F74" s="19"/>
      <c r="G74" s="40"/>
      <c r="H74" s="18"/>
      <c r="I74" s="40"/>
      <c r="J74" s="23" t="str">
        <f t="shared" si="2"/>
        <v/>
      </c>
    </row>
    <row r="75" spans="1:10" ht="20" customHeight="1">
      <c r="A75" s="11"/>
      <c r="B75" s="39"/>
      <c r="C75" s="39"/>
      <c r="D75" s="11"/>
      <c r="E75" s="11"/>
      <c r="F75" s="11"/>
      <c r="G75" s="39"/>
      <c r="H75" s="10"/>
      <c r="I75" s="39"/>
      <c r="J75" s="15" t="str">
        <f t="shared" si="2"/>
        <v/>
      </c>
    </row>
    <row r="76" spans="1:10" ht="20" customHeight="1">
      <c r="A76" s="19"/>
      <c r="B76" s="40"/>
      <c r="C76" s="40"/>
      <c r="D76" s="19"/>
      <c r="E76" s="19"/>
      <c r="F76" s="19"/>
      <c r="G76" s="40"/>
      <c r="H76" s="18"/>
      <c r="I76" s="40"/>
      <c r="J76" s="23" t="str">
        <f t="shared" si="2"/>
        <v/>
      </c>
    </row>
    <row r="77" spans="1:10" ht="20" customHeight="1">
      <c r="A77" s="11"/>
      <c r="B77" s="39"/>
      <c r="C77" s="39"/>
      <c r="D77" s="11"/>
      <c r="E77" s="11"/>
      <c r="F77" s="11"/>
      <c r="G77" s="39"/>
      <c r="H77" s="10"/>
      <c r="I77" s="39"/>
      <c r="J77" s="15" t="str">
        <f t="shared" si="2"/>
        <v/>
      </c>
    </row>
    <row r="78" spans="1:10" ht="20" customHeight="1">
      <c r="A78" s="19"/>
      <c r="B78" s="40"/>
      <c r="C78" s="40"/>
      <c r="D78" s="19"/>
      <c r="E78" s="19"/>
      <c r="F78" s="19"/>
      <c r="G78" s="40"/>
      <c r="H78" s="18"/>
      <c r="I78" s="40"/>
      <c r="J78" s="23" t="str">
        <f t="shared" si="2"/>
        <v/>
      </c>
    </row>
    <row r="79" spans="1:10" ht="20" customHeight="1">
      <c r="A79" s="11"/>
      <c r="B79" s="39"/>
      <c r="C79" s="39"/>
      <c r="D79" s="11"/>
      <c r="E79" s="11"/>
      <c r="F79" s="11"/>
      <c r="G79" s="39"/>
      <c r="H79" s="10"/>
      <c r="I79" s="39"/>
      <c r="J79" s="15" t="str">
        <f t="shared" si="2"/>
        <v/>
      </c>
    </row>
    <row r="80" spans="1:10" ht="20" customHeight="1">
      <c r="A80" s="19"/>
      <c r="B80" s="40"/>
      <c r="C80" s="40"/>
      <c r="D80" s="19"/>
      <c r="E80" s="19"/>
      <c r="F80" s="19"/>
      <c r="G80" s="40"/>
      <c r="H80" s="18"/>
      <c r="I80" s="40"/>
      <c r="J80" s="23" t="str">
        <f t="shared" si="2"/>
        <v/>
      </c>
    </row>
    <row r="81" spans="1:10" ht="20" customHeight="1">
      <c r="A81" s="11"/>
      <c r="B81" s="39"/>
      <c r="C81" s="39"/>
      <c r="D81" s="11"/>
      <c r="E81" s="11"/>
      <c r="F81" s="11"/>
      <c r="G81" s="39"/>
      <c r="H81" s="10"/>
      <c r="I81" s="39"/>
      <c r="J81" s="15" t="str">
        <f t="shared" si="2"/>
        <v/>
      </c>
    </row>
    <row r="82" spans="1:10" ht="20" customHeight="1">
      <c r="A82" s="19"/>
      <c r="B82" s="40"/>
      <c r="C82" s="40"/>
      <c r="D82" s="19"/>
      <c r="E82" s="19"/>
      <c r="F82" s="19"/>
      <c r="G82" s="40"/>
      <c r="H82" s="18"/>
      <c r="I82" s="40"/>
      <c r="J82" s="23" t="str">
        <f t="shared" si="2"/>
        <v/>
      </c>
    </row>
    <row r="83" spans="1:10" ht="20" customHeight="1">
      <c r="A83" s="11"/>
      <c r="B83" s="39"/>
      <c r="C83" s="39"/>
      <c r="D83" s="11"/>
      <c r="E83" s="11"/>
      <c r="F83" s="11"/>
      <c r="G83" s="39"/>
      <c r="H83" s="10"/>
      <c r="I83" s="39"/>
      <c r="J83" s="15" t="str">
        <f t="shared" si="2"/>
        <v/>
      </c>
    </row>
    <row r="84" spans="1:10" ht="20" customHeight="1">
      <c r="A84" s="19"/>
      <c r="B84" s="40"/>
      <c r="C84" s="40"/>
      <c r="D84" s="19"/>
      <c r="E84" s="19"/>
      <c r="F84" s="19"/>
      <c r="G84" s="40"/>
      <c r="H84" s="18"/>
      <c r="I84" s="40"/>
      <c r="J84" s="23" t="str">
        <f t="shared" si="2"/>
        <v/>
      </c>
    </row>
    <row r="85" spans="1:10" ht="20" customHeight="1">
      <c r="A85" s="11"/>
      <c r="B85" s="39"/>
      <c r="C85" s="39"/>
      <c r="D85" s="11"/>
      <c r="E85" s="11"/>
      <c r="F85" s="11"/>
      <c r="G85" s="39"/>
      <c r="H85" s="10"/>
      <c r="I85" s="39"/>
      <c r="J85" s="15" t="str">
        <f t="shared" si="2"/>
        <v/>
      </c>
    </row>
    <row r="86" spans="1:10" ht="20" customHeight="1">
      <c r="A86" s="19"/>
      <c r="B86" s="40"/>
      <c r="C86" s="40"/>
      <c r="D86" s="19"/>
      <c r="E86" s="19"/>
      <c r="F86" s="19"/>
      <c r="G86" s="40"/>
      <c r="H86" s="18"/>
      <c r="I86" s="40"/>
      <c r="J86" s="23" t="str">
        <f t="shared" si="2"/>
        <v/>
      </c>
    </row>
    <row r="87" spans="1:10" ht="20" customHeight="1">
      <c r="A87" s="11"/>
      <c r="B87" s="39"/>
      <c r="C87" s="39"/>
      <c r="D87" s="11"/>
      <c r="E87" s="11"/>
      <c r="F87" s="11"/>
      <c r="G87" s="39"/>
      <c r="H87" s="10"/>
      <c r="I87" s="39"/>
      <c r="J87" s="15" t="str">
        <f t="shared" si="2"/>
        <v/>
      </c>
    </row>
    <row r="88" spans="1:10" ht="20" customHeight="1">
      <c r="A88" s="19"/>
      <c r="B88" s="40"/>
      <c r="C88" s="40"/>
      <c r="D88" s="19"/>
      <c r="E88" s="19"/>
      <c r="F88" s="19"/>
      <c r="G88" s="40"/>
      <c r="H88" s="18"/>
      <c r="I88" s="40"/>
      <c r="J88" s="23" t="str">
        <f t="shared" si="2"/>
        <v/>
      </c>
    </row>
    <row r="89" spans="1:10" ht="20" customHeight="1">
      <c r="A89" s="11"/>
      <c r="B89" s="39"/>
      <c r="C89" s="39"/>
      <c r="D89" s="11"/>
      <c r="E89" s="11"/>
      <c r="F89" s="11"/>
      <c r="G89" s="39"/>
      <c r="H89" s="10"/>
      <c r="I89" s="39"/>
      <c r="J89" s="15" t="str">
        <f t="shared" si="2"/>
        <v/>
      </c>
    </row>
    <row r="90" spans="1:10" ht="20" customHeight="1">
      <c r="A90" s="19"/>
      <c r="B90" s="40"/>
      <c r="C90" s="40"/>
      <c r="D90" s="19"/>
      <c r="E90" s="19"/>
      <c r="F90" s="19"/>
      <c r="G90" s="40"/>
      <c r="H90" s="18"/>
      <c r="I90" s="40"/>
      <c r="J90" s="23" t="str">
        <f t="shared" si="2"/>
        <v/>
      </c>
    </row>
    <row r="91" spans="1:10" ht="20" customHeight="1">
      <c r="A91" s="11"/>
      <c r="B91" s="39"/>
      <c r="C91" s="39"/>
      <c r="D91" s="11"/>
      <c r="E91" s="11"/>
      <c r="F91" s="11"/>
      <c r="G91" s="39"/>
      <c r="H91" s="10"/>
      <c r="I91" s="39"/>
      <c r="J91" s="15" t="str">
        <f t="shared" si="2"/>
        <v/>
      </c>
    </row>
    <row r="92" spans="1:10" ht="20" customHeight="1">
      <c r="A92" s="19"/>
      <c r="B92" s="40"/>
      <c r="C92" s="40"/>
      <c r="D92" s="19"/>
      <c r="E92" s="19"/>
      <c r="F92" s="19"/>
      <c r="G92" s="40"/>
      <c r="H92" s="18"/>
      <c r="I92" s="40"/>
      <c r="J92" s="23" t="str">
        <f t="shared" si="2"/>
        <v/>
      </c>
    </row>
    <row r="93" spans="1:10" ht="20" customHeight="1">
      <c r="A93" s="11"/>
      <c r="B93" s="39"/>
      <c r="C93" s="39"/>
      <c r="D93" s="11"/>
      <c r="E93" s="11"/>
      <c r="F93" s="11"/>
      <c r="G93" s="39"/>
      <c r="H93" s="10"/>
      <c r="I93" s="39"/>
      <c r="J93" s="15" t="str">
        <f t="shared" si="2"/>
        <v/>
      </c>
    </row>
    <row r="94" spans="1:10" ht="20" customHeight="1">
      <c r="A94" s="19"/>
      <c r="B94" s="40"/>
      <c r="C94" s="40"/>
      <c r="D94" s="19"/>
      <c r="E94" s="19"/>
      <c r="F94" s="19"/>
      <c r="G94" s="40"/>
      <c r="H94" s="18"/>
      <c r="I94" s="40"/>
      <c r="J94" s="23" t="str">
        <f t="shared" si="2"/>
        <v/>
      </c>
    </row>
    <row r="95" spans="1:10" ht="20" customHeight="1">
      <c r="A95" s="11"/>
      <c r="B95" s="39"/>
      <c r="C95" s="39"/>
      <c r="D95" s="11"/>
      <c r="E95" s="11"/>
      <c r="F95" s="11"/>
      <c r="G95" s="39"/>
      <c r="H95" s="10"/>
      <c r="I95" s="39"/>
      <c r="J95" s="15" t="str">
        <f t="shared" si="2"/>
        <v/>
      </c>
    </row>
    <row r="96" spans="1:10" ht="20" customHeight="1">
      <c r="A96" s="19"/>
      <c r="B96" s="40"/>
      <c r="C96" s="40"/>
      <c r="D96" s="19"/>
      <c r="E96" s="19"/>
      <c r="F96" s="19"/>
      <c r="G96" s="40"/>
      <c r="H96" s="18"/>
      <c r="I96" s="40"/>
      <c r="J96" s="23" t="str">
        <f t="shared" si="2"/>
        <v/>
      </c>
    </row>
    <row r="97" spans="1:10" ht="20" customHeight="1">
      <c r="A97" s="11"/>
      <c r="B97" s="39"/>
      <c r="C97" s="39"/>
      <c r="D97" s="11"/>
      <c r="E97" s="11"/>
      <c r="F97" s="11"/>
      <c r="G97" s="39"/>
      <c r="H97" s="10"/>
      <c r="I97" s="39"/>
      <c r="J97" s="15" t="str">
        <f t="shared" si="2"/>
        <v/>
      </c>
    </row>
    <row r="98" spans="1:10" ht="20" customHeight="1">
      <c r="A98" s="19"/>
      <c r="B98" s="40"/>
      <c r="C98" s="40"/>
      <c r="D98" s="19"/>
      <c r="E98" s="19"/>
      <c r="F98" s="19"/>
      <c r="G98" s="40"/>
      <c r="H98" s="18"/>
      <c r="I98" s="40"/>
      <c r="J98" s="23" t="str">
        <f t="shared" si="2"/>
        <v/>
      </c>
    </row>
    <row r="99" spans="1:10" ht="20" customHeight="1">
      <c r="A99" s="11"/>
      <c r="B99" s="39"/>
      <c r="C99" s="39"/>
      <c r="D99" s="11"/>
      <c r="E99" s="11"/>
      <c r="F99" s="11"/>
      <c r="G99" s="39"/>
      <c r="H99" s="10"/>
      <c r="I99" s="39"/>
      <c r="J99" s="15" t="str">
        <f t="shared" si="2"/>
        <v/>
      </c>
    </row>
    <row r="100" spans="1:10" ht="20" customHeight="1">
      <c r="A100" s="19"/>
      <c r="B100" s="40"/>
      <c r="C100" s="40"/>
      <c r="D100" s="19"/>
      <c r="E100" s="19"/>
      <c r="F100" s="19"/>
      <c r="G100" s="40"/>
      <c r="H100" s="18"/>
      <c r="I100" s="40"/>
      <c r="J100" s="23" t="str">
        <f t="shared" si="2"/>
        <v/>
      </c>
    </row>
    <row r="101" spans="1:10" ht="20" customHeight="1">
      <c r="A101" s="11"/>
      <c r="B101" s="39"/>
      <c r="C101" s="39"/>
      <c r="D101" s="11"/>
      <c r="E101" s="11"/>
      <c r="F101" s="11"/>
      <c r="G101" s="39"/>
      <c r="H101" s="10"/>
      <c r="I101" s="39"/>
      <c r="J101" s="15" t="str">
        <f t="shared" ref="J101:J132" si="3">IF($A101="","",IF($I101&lt;&gt;"","Closed — re-verified",IF($F101&lt;&gt;"","Fix applied — not re-verified","Open")))</f>
        <v/>
      </c>
    </row>
    <row r="102" spans="1:10" ht="20" customHeight="1">
      <c r="A102" s="19"/>
      <c r="B102" s="40"/>
      <c r="C102" s="40"/>
      <c r="D102" s="19"/>
      <c r="E102" s="19"/>
      <c r="F102" s="19"/>
      <c r="G102" s="40"/>
      <c r="H102" s="18"/>
      <c r="I102" s="40"/>
      <c r="J102" s="23" t="str">
        <f t="shared" si="3"/>
        <v/>
      </c>
    </row>
    <row r="103" spans="1:10" ht="20" customHeight="1">
      <c r="A103" s="11"/>
      <c r="B103" s="39"/>
      <c r="C103" s="39"/>
      <c r="D103" s="11"/>
      <c r="E103" s="11"/>
      <c r="F103" s="11"/>
      <c r="G103" s="39"/>
      <c r="H103" s="10"/>
      <c r="I103" s="39"/>
      <c r="J103" s="15" t="str">
        <f t="shared" si="3"/>
        <v/>
      </c>
    </row>
    <row r="104" spans="1:10" ht="20" customHeight="1">
      <c r="A104" s="19"/>
      <c r="B104" s="40"/>
      <c r="C104" s="40"/>
      <c r="D104" s="19"/>
      <c r="E104" s="19"/>
      <c r="F104" s="19"/>
      <c r="G104" s="40"/>
      <c r="H104" s="18"/>
      <c r="I104" s="40"/>
      <c r="J104" s="23" t="str">
        <f t="shared" si="3"/>
        <v/>
      </c>
    </row>
    <row r="105" spans="1:10" ht="20" customHeight="1">
      <c r="A105" s="11"/>
      <c r="B105" s="39"/>
      <c r="C105" s="39"/>
      <c r="D105" s="11"/>
      <c r="E105" s="11"/>
      <c r="F105" s="11"/>
      <c r="G105" s="39"/>
      <c r="H105" s="10"/>
      <c r="I105" s="39"/>
      <c r="J105" s="15" t="str">
        <f t="shared" si="3"/>
        <v/>
      </c>
    </row>
    <row r="106" spans="1:10" ht="20" customHeight="1">
      <c r="A106" s="19"/>
      <c r="B106" s="40"/>
      <c r="C106" s="40"/>
      <c r="D106" s="19"/>
      <c r="E106" s="19"/>
      <c r="F106" s="19"/>
      <c r="G106" s="40"/>
      <c r="H106" s="18"/>
      <c r="I106" s="40"/>
      <c r="J106" s="23" t="str">
        <f t="shared" si="3"/>
        <v/>
      </c>
    </row>
    <row r="107" spans="1:10" ht="20" customHeight="1">
      <c r="A107" s="11"/>
      <c r="B107" s="39"/>
      <c r="C107" s="39"/>
      <c r="D107" s="11"/>
      <c r="E107" s="11"/>
      <c r="F107" s="11"/>
      <c r="G107" s="39"/>
      <c r="H107" s="10"/>
      <c r="I107" s="39"/>
      <c r="J107" s="15" t="str">
        <f t="shared" si="3"/>
        <v/>
      </c>
    </row>
    <row r="108" spans="1:10" ht="20" customHeight="1">
      <c r="A108" s="19"/>
      <c r="B108" s="40"/>
      <c r="C108" s="40"/>
      <c r="D108" s="19"/>
      <c r="E108" s="19"/>
      <c r="F108" s="19"/>
      <c r="G108" s="40"/>
      <c r="H108" s="18"/>
      <c r="I108" s="40"/>
      <c r="J108" s="23" t="str">
        <f t="shared" si="3"/>
        <v/>
      </c>
    </row>
    <row r="109" spans="1:10" ht="20" customHeight="1">
      <c r="A109" s="11"/>
      <c r="B109" s="39"/>
      <c r="C109" s="39"/>
      <c r="D109" s="11"/>
      <c r="E109" s="11"/>
      <c r="F109" s="11"/>
      <c r="G109" s="39"/>
      <c r="H109" s="10"/>
      <c r="I109" s="39"/>
      <c r="J109" s="15" t="str">
        <f t="shared" si="3"/>
        <v/>
      </c>
    </row>
    <row r="110" spans="1:10" ht="20" customHeight="1">
      <c r="A110" s="19"/>
      <c r="B110" s="40"/>
      <c r="C110" s="40"/>
      <c r="D110" s="19"/>
      <c r="E110" s="19"/>
      <c r="F110" s="19"/>
      <c r="G110" s="40"/>
      <c r="H110" s="18"/>
      <c r="I110" s="40"/>
      <c r="J110" s="23" t="str">
        <f t="shared" si="3"/>
        <v/>
      </c>
    </row>
    <row r="111" spans="1:10" ht="20" customHeight="1">
      <c r="A111" s="11"/>
      <c r="B111" s="39"/>
      <c r="C111" s="39"/>
      <c r="D111" s="11"/>
      <c r="E111" s="11"/>
      <c r="F111" s="11"/>
      <c r="G111" s="39"/>
      <c r="H111" s="10"/>
      <c r="I111" s="39"/>
      <c r="J111" s="15" t="str">
        <f t="shared" si="3"/>
        <v/>
      </c>
    </row>
    <row r="112" spans="1:10" ht="20" customHeight="1">
      <c r="A112" s="19"/>
      <c r="B112" s="40"/>
      <c r="C112" s="40"/>
      <c r="D112" s="19"/>
      <c r="E112" s="19"/>
      <c r="F112" s="19"/>
      <c r="G112" s="40"/>
      <c r="H112" s="18"/>
      <c r="I112" s="40"/>
      <c r="J112" s="23" t="str">
        <f t="shared" si="3"/>
        <v/>
      </c>
    </row>
    <row r="113" spans="1:10" ht="20" customHeight="1">
      <c r="A113" s="11"/>
      <c r="B113" s="39"/>
      <c r="C113" s="39"/>
      <c r="D113" s="11"/>
      <c r="E113" s="11"/>
      <c r="F113" s="11"/>
      <c r="G113" s="39"/>
      <c r="H113" s="10"/>
      <c r="I113" s="39"/>
      <c r="J113" s="15" t="str">
        <f t="shared" si="3"/>
        <v/>
      </c>
    </row>
    <row r="114" spans="1:10" ht="20" customHeight="1">
      <c r="A114" s="19"/>
      <c r="B114" s="40"/>
      <c r="C114" s="40"/>
      <c r="D114" s="19"/>
      <c r="E114" s="19"/>
      <c r="F114" s="19"/>
      <c r="G114" s="40"/>
      <c r="H114" s="18"/>
      <c r="I114" s="40"/>
      <c r="J114" s="23" t="str">
        <f t="shared" si="3"/>
        <v/>
      </c>
    </row>
    <row r="115" spans="1:10" ht="20" customHeight="1">
      <c r="A115" s="11"/>
      <c r="B115" s="39"/>
      <c r="C115" s="39"/>
      <c r="D115" s="11"/>
      <c r="E115" s="11"/>
      <c r="F115" s="11"/>
      <c r="G115" s="39"/>
      <c r="H115" s="10"/>
      <c r="I115" s="39"/>
      <c r="J115" s="15" t="str">
        <f t="shared" si="3"/>
        <v/>
      </c>
    </row>
    <row r="116" spans="1:10" ht="20" customHeight="1">
      <c r="A116" s="19"/>
      <c r="B116" s="40"/>
      <c r="C116" s="40"/>
      <c r="D116" s="19"/>
      <c r="E116" s="19"/>
      <c r="F116" s="19"/>
      <c r="G116" s="40"/>
      <c r="H116" s="18"/>
      <c r="I116" s="40"/>
      <c r="J116" s="23" t="str">
        <f t="shared" si="3"/>
        <v/>
      </c>
    </row>
    <row r="117" spans="1:10" ht="20" customHeight="1">
      <c r="A117" s="11"/>
      <c r="B117" s="39"/>
      <c r="C117" s="39"/>
      <c r="D117" s="11"/>
      <c r="E117" s="11"/>
      <c r="F117" s="11"/>
      <c r="G117" s="39"/>
      <c r="H117" s="10"/>
      <c r="I117" s="39"/>
      <c r="J117" s="15" t="str">
        <f t="shared" si="3"/>
        <v/>
      </c>
    </row>
    <row r="118" spans="1:10" ht="20" customHeight="1">
      <c r="A118" s="19"/>
      <c r="B118" s="40"/>
      <c r="C118" s="40"/>
      <c r="D118" s="19"/>
      <c r="E118" s="19"/>
      <c r="F118" s="19"/>
      <c r="G118" s="40"/>
      <c r="H118" s="18"/>
      <c r="I118" s="40"/>
      <c r="J118" s="23" t="str">
        <f t="shared" si="3"/>
        <v/>
      </c>
    </row>
    <row r="119" spans="1:10" ht="20" customHeight="1">
      <c r="A119" s="11"/>
      <c r="B119" s="39"/>
      <c r="C119" s="39"/>
      <c r="D119" s="11"/>
      <c r="E119" s="11"/>
      <c r="F119" s="11"/>
      <c r="G119" s="39"/>
      <c r="H119" s="10"/>
      <c r="I119" s="39"/>
      <c r="J119" s="15" t="str">
        <f t="shared" si="3"/>
        <v/>
      </c>
    </row>
    <row r="120" spans="1:10" ht="20" customHeight="1">
      <c r="A120" s="19"/>
      <c r="B120" s="40"/>
      <c r="C120" s="40"/>
      <c r="D120" s="19"/>
      <c r="E120" s="19"/>
      <c r="F120" s="19"/>
      <c r="G120" s="40"/>
      <c r="H120" s="18"/>
      <c r="I120" s="40"/>
      <c r="J120" s="23" t="str">
        <f t="shared" si="3"/>
        <v/>
      </c>
    </row>
    <row r="121" spans="1:10" ht="20" customHeight="1">
      <c r="A121" s="11"/>
      <c r="B121" s="39"/>
      <c r="C121" s="39"/>
      <c r="D121" s="11"/>
      <c r="E121" s="11"/>
      <c r="F121" s="11"/>
      <c r="G121" s="39"/>
      <c r="H121" s="10"/>
      <c r="I121" s="39"/>
      <c r="J121" s="15" t="str">
        <f t="shared" si="3"/>
        <v/>
      </c>
    </row>
    <row r="122" spans="1:10" ht="20" customHeight="1">
      <c r="A122" s="19"/>
      <c r="B122" s="40"/>
      <c r="C122" s="40"/>
      <c r="D122" s="19"/>
      <c r="E122" s="19"/>
      <c r="F122" s="19"/>
      <c r="G122" s="40"/>
      <c r="H122" s="18"/>
      <c r="I122" s="40"/>
      <c r="J122" s="23" t="str">
        <f t="shared" si="3"/>
        <v/>
      </c>
    </row>
    <row r="123" spans="1:10" ht="20" customHeight="1">
      <c r="A123" s="11"/>
      <c r="B123" s="39"/>
      <c r="C123" s="39"/>
      <c r="D123" s="11"/>
      <c r="E123" s="11"/>
      <c r="F123" s="11"/>
      <c r="G123" s="39"/>
      <c r="H123" s="10"/>
      <c r="I123" s="39"/>
      <c r="J123" s="15" t="str">
        <f t="shared" si="3"/>
        <v/>
      </c>
    </row>
    <row r="124" spans="1:10" ht="20" customHeight="1">
      <c r="A124" s="19"/>
      <c r="B124" s="40"/>
      <c r="C124" s="40"/>
      <c r="D124" s="19"/>
      <c r="E124" s="19"/>
      <c r="F124" s="19"/>
      <c r="G124" s="40"/>
      <c r="H124" s="18"/>
      <c r="I124" s="40"/>
      <c r="J124" s="23" t="str">
        <f t="shared" si="3"/>
        <v/>
      </c>
    </row>
    <row r="125" spans="1:10" ht="20" customHeight="1">
      <c r="A125" s="11"/>
      <c r="B125" s="39"/>
      <c r="C125" s="39"/>
      <c r="D125" s="11"/>
      <c r="E125" s="11"/>
      <c r="F125" s="11"/>
      <c r="G125" s="39"/>
      <c r="H125" s="10"/>
      <c r="I125" s="39"/>
      <c r="J125" s="15" t="str">
        <f t="shared" si="3"/>
        <v/>
      </c>
    </row>
    <row r="126" spans="1:10" ht="20" customHeight="1">
      <c r="A126" s="19"/>
      <c r="B126" s="40"/>
      <c r="C126" s="40"/>
      <c r="D126" s="19"/>
      <c r="E126" s="19"/>
      <c r="F126" s="19"/>
      <c r="G126" s="40"/>
      <c r="H126" s="18"/>
      <c r="I126" s="40"/>
      <c r="J126" s="23" t="str">
        <f t="shared" si="3"/>
        <v/>
      </c>
    </row>
    <row r="127" spans="1:10" ht="20" customHeight="1">
      <c r="A127" s="11"/>
      <c r="B127" s="39"/>
      <c r="C127" s="39"/>
      <c r="D127" s="11"/>
      <c r="E127" s="11"/>
      <c r="F127" s="11"/>
      <c r="G127" s="39"/>
      <c r="H127" s="10"/>
      <c r="I127" s="39"/>
      <c r="J127" s="15" t="str">
        <f t="shared" si="3"/>
        <v/>
      </c>
    </row>
    <row r="128" spans="1:10" ht="20" customHeight="1">
      <c r="A128" s="19"/>
      <c r="B128" s="40"/>
      <c r="C128" s="40"/>
      <c r="D128" s="19"/>
      <c r="E128" s="19"/>
      <c r="F128" s="19"/>
      <c r="G128" s="40"/>
      <c r="H128" s="18"/>
      <c r="I128" s="40"/>
      <c r="J128" s="23" t="str">
        <f t="shared" si="3"/>
        <v/>
      </c>
    </row>
    <row r="129" spans="1:10" ht="20" customHeight="1">
      <c r="A129" s="11"/>
      <c r="B129" s="39"/>
      <c r="C129" s="39"/>
      <c r="D129" s="11"/>
      <c r="E129" s="11"/>
      <c r="F129" s="11"/>
      <c r="G129" s="39"/>
      <c r="H129" s="10"/>
      <c r="I129" s="39"/>
      <c r="J129" s="15" t="str">
        <f t="shared" si="3"/>
        <v/>
      </c>
    </row>
    <row r="130" spans="1:10" ht="20" customHeight="1">
      <c r="A130" s="19"/>
      <c r="B130" s="40"/>
      <c r="C130" s="40"/>
      <c r="D130" s="19"/>
      <c r="E130" s="19"/>
      <c r="F130" s="19"/>
      <c r="G130" s="40"/>
      <c r="H130" s="18"/>
      <c r="I130" s="40"/>
      <c r="J130" s="23" t="str">
        <f t="shared" si="3"/>
        <v/>
      </c>
    </row>
    <row r="131" spans="1:10" ht="20" customHeight="1">
      <c r="A131" s="11"/>
      <c r="B131" s="39"/>
      <c r="C131" s="39"/>
      <c r="D131" s="11"/>
      <c r="E131" s="11"/>
      <c r="F131" s="11"/>
      <c r="G131" s="39"/>
      <c r="H131" s="10"/>
      <c r="I131" s="39"/>
      <c r="J131" s="15" t="str">
        <f t="shared" si="3"/>
        <v/>
      </c>
    </row>
    <row r="132" spans="1:10" ht="20" customHeight="1">
      <c r="A132" s="19"/>
      <c r="B132" s="40"/>
      <c r="C132" s="40"/>
      <c r="D132" s="19"/>
      <c r="E132" s="19"/>
      <c r="F132" s="19"/>
      <c r="G132" s="40"/>
      <c r="H132" s="18"/>
      <c r="I132" s="40"/>
      <c r="J132" s="23" t="str">
        <f t="shared" si="3"/>
        <v/>
      </c>
    </row>
    <row r="133" spans="1:10" ht="20" customHeight="1">
      <c r="A133" s="11"/>
      <c r="B133" s="39"/>
      <c r="C133" s="39"/>
      <c r="D133" s="11"/>
      <c r="E133" s="11"/>
      <c r="F133" s="11"/>
      <c r="G133" s="39"/>
      <c r="H133" s="10"/>
      <c r="I133" s="39"/>
      <c r="J133" s="15" t="str">
        <f t="shared" ref="J133:J164" si="4">IF($A133="","",IF($I133&lt;&gt;"","Closed — re-verified",IF($F133&lt;&gt;"","Fix applied — not re-verified","Open")))</f>
        <v/>
      </c>
    </row>
    <row r="134" spans="1:10" ht="20" customHeight="1">
      <c r="A134" s="19"/>
      <c r="B134" s="40"/>
      <c r="C134" s="40"/>
      <c r="D134" s="19"/>
      <c r="E134" s="19"/>
      <c r="F134" s="19"/>
      <c r="G134" s="40"/>
      <c r="H134" s="18"/>
      <c r="I134" s="40"/>
      <c r="J134" s="23" t="str">
        <f t="shared" si="4"/>
        <v/>
      </c>
    </row>
    <row r="135" spans="1:10" ht="20" customHeight="1">
      <c r="A135" s="11"/>
      <c r="B135" s="39"/>
      <c r="C135" s="39"/>
      <c r="D135" s="11"/>
      <c r="E135" s="11"/>
      <c r="F135" s="11"/>
      <c r="G135" s="39"/>
      <c r="H135" s="10"/>
      <c r="I135" s="39"/>
      <c r="J135" s="15" t="str">
        <f t="shared" si="4"/>
        <v/>
      </c>
    </row>
    <row r="136" spans="1:10" ht="20" customHeight="1">
      <c r="A136" s="19"/>
      <c r="B136" s="40"/>
      <c r="C136" s="40"/>
      <c r="D136" s="19"/>
      <c r="E136" s="19"/>
      <c r="F136" s="19"/>
      <c r="G136" s="40"/>
      <c r="H136" s="18"/>
      <c r="I136" s="40"/>
      <c r="J136" s="23" t="str">
        <f t="shared" si="4"/>
        <v/>
      </c>
    </row>
    <row r="137" spans="1:10" ht="20" customHeight="1">
      <c r="A137" s="11"/>
      <c r="B137" s="39"/>
      <c r="C137" s="39"/>
      <c r="D137" s="11"/>
      <c r="E137" s="11"/>
      <c r="F137" s="11"/>
      <c r="G137" s="39"/>
      <c r="H137" s="10"/>
      <c r="I137" s="39"/>
      <c r="J137" s="15" t="str">
        <f t="shared" si="4"/>
        <v/>
      </c>
    </row>
    <row r="138" spans="1:10" ht="20" customHeight="1">
      <c r="A138" s="19"/>
      <c r="B138" s="40"/>
      <c r="C138" s="40"/>
      <c r="D138" s="19"/>
      <c r="E138" s="19"/>
      <c r="F138" s="19"/>
      <c r="G138" s="40"/>
      <c r="H138" s="18"/>
      <c r="I138" s="40"/>
      <c r="J138" s="23" t="str">
        <f t="shared" si="4"/>
        <v/>
      </c>
    </row>
    <row r="139" spans="1:10" ht="20" customHeight="1">
      <c r="A139" s="11"/>
      <c r="B139" s="39"/>
      <c r="C139" s="39"/>
      <c r="D139" s="11"/>
      <c r="E139" s="11"/>
      <c r="F139" s="11"/>
      <c r="G139" s="39"/>
      <c r="H139" s="10"/>
      <c r="I139" s="39"/>
      <c r="J139" s="15" t="str">
        <f t="shared" si="4"/>
        <v/>
      </c>
    </row>
    <row r="140" spans="1:10" ht="20" customHeight="1">
      <c r="A140" s="19"/>
      <c r="B140" s="40"/>
      <c r="C140" s="40"/>
      <c r="D140" s="19"/>
      <c r="E140" s="19"/>
      <c r="F140" s="19"/>
      <c r="G140" s="40"/>
      <c r="H140" s="18"/>
      <c r="I140" s="40"/>
      <c r="J140" s="23" t="str">
        <f t="shared" si="4"/>
        <v/>
      </c>
    </row>
    <row r="141" spans="1:10" ht="20" customHeight="1">
      <c r="A141" s="11"/>
      <c r="B141" s="39"/>
      <c r="C141" s="39"/>
      <c r="D141" s="11"/>
      <c r="E141" s="11"/>
      <c r="F141" s="11"/>
      <c r="G141" s="39"/>
      <c r="H141" s="10"/>
      <c r="I141" s="39"/>
      <c r="J141" s="15" t="str">
        <f t="shared" si="4"/>
        <v/>
      </c>
    </row>
    <row r="142" spans="1:10" ht="20" customHeight="1">
      <c r="A142" s="19"/>
      <c r="B142" s="40"/>
      <c r="C142" s="40"/>
      <c r="D142" s="19"/>
      <c r="E142" s="19"/>
      <c r="F142" s="19"/>
      <c r="G142" s="40"/>
      <c r="H142" s="18"/>
      <c r="I142" s="40"/>
      <c r="J142" s="23" t="str">
        <f t="shared" si="4"/>
        <v/>
      </c>
    </row>
    <row r="143" spans="1:10" ht="20" customHeight="1">
      <c r="A143" s="11"/>
      <c r="B143" s="39"/>
      <c r="C143" s="39"/>
      <c r="D143" s="11"/>
      <c r="E143" s="11"/>
      <c r="F143" s="11"/>
      <c r="G143" s="39"/>
      <c r="H143" s="10"/>
      <c r="I143" s="39"/>
      <c r="J143" s="15" t="str">
        <f t="shared" si="4"/>
        <v/>
      </c>
    </row>
    <row r="144" spans="1:10" ht="20" customHeight="1">
      <c r="A144" s="19"/>
      <c r="B144" s="40"/>
      <c r="C144" s="40"/>
      <c r="D144" s="19"/>
      <c r="E144" s="19"/>
      <c r="F144" s="19"/>
      <c r="G144" s="40"/>
      <c r="H144" s="18"/>
      <c r="I144" s="40"/>
      <c r="J144" s="23" t="str">
        <f t="shared" si="4"/>
        <v/>
      </c>
    </row>
    <row r="145" spans="1:10" ht="20" customHeight="1">
      <c r="A145" s="11"/>
      <c r="B145" s="39"/>
      <c r="C145" s="39"/>
      <c r="D145" s="11"/>
      <c r="E145" s="11"/>
      <c r="F145" s="11"/>
      <c r="G145" s="39"/>
      <c r="H145" s="10"/>
      <c r="I145" s="39"/>
      <c r="J145" s="15" t="str">
        <f t="shared" si="4"/>
        <v/>
      </c>
    </row>
    <row r="146" spans="1:10" ht="20" customHeight="1">
      <c r="A146" s="19"/>
      <c r="B146" s="40"/>
      <c r="C146" s="40"/>
      <c r="D146" s="19"/>
      <c r="E146" s="19"/>
      <c r="F146" s="19"/>
      <c r="G146" s="40"/>
      <c r="H146" s="18"/>
      <c r="I146" s="40"/>
      <c r="J146" s="23" t="str">
        <f t="shared" si="4"/>
        <v/>
      </c>
    </row>
    <row r="147" spans="1:10" ht="20" customHeight="1">
      <c r="A147" s="11"/>
      <c r="B147" s="39"/>
      <c r="C147" s="39"/>
      <c r="D147" s="11"/>
      <c r="E147" s="11"/>
      <c r="F147" s="11"/>
      <c r="G147" s="39"/>
      <c r="H147" s="10"/>
      <c r="I147" s="39"/>
      <c r="J147" s="15" t="str">
        <f t="shared" si="4"/>
        <v/>
      </c>
    </row>
    <row r="148" spans="1:10" ht="20" customHeight="1">
      <c r="A148" s="19"/>
      <c r="B148" s="40"/>
      <c r="C148" s="40"/>
      <c r="D148" s="19"/>
      <c r="E148" s="19"/>
      <c r="F148" s="19"/>
      <c r="G148" s="40"/>
      <c r="H148" s="18"/>
      <c r="I148" s="40"/>
      <c r="J148" s="23" t="str">
        <f t="shared" si="4"/>
        <v/>
      </c>
    </row>
    <row r="149" spans="1:10" ht="20" customHeight="1">
      <c r="A149" s="11"/>
      <c r="B149" s="39"/>
      <c r="C149" s="39"/>
      <c r="D149" s="11"/>
      <c r="E149" s="11"/>
      <c r="F149" s="11"/>
      <c r="G149" s="39"/>
      <c r="H149" s="10"/>
      <c r="I149" s="39"/>
      <c r="J149" s="15" t="str">
        <f t="shared" si="4"/>
        <v/>
      </c>
    </row>
    <row r="150" spans="1:10" ht="20" customHeight="1">
      <c r="A150" s="19"/>
      <c r="B150" s="40"/>
      <c r="C150" s="40"/>
      <c r="D150" s="19"/>
      <c r="E150" s="19"/>
      <c r="F150" s="19"/>
      <c r="G150" s="40"/>
      <c r="H150" s="18"/>
      <c r="I150" s="40"/>
      <c r="J150" s="23" t="str">
        <f t="shared" si="4"/>
        <v/>
      </c>
    </row>
    <row r="151" spans="1:10" ht="20" customHeight="1">
      <c r="A151" s="11"/>
      <c r="B151" s="39"/>
      <c r="C151" s="39"/>
      <c r="D151" s="11"/>
      <c r="E151" s="11"/>
      <c r="F151" s="11"/>
      <c r="G151" s="39"/>
      <c r="H151" s="10"/>
      <c r="I151" s="39"/>
      <c r="J151" s="15" t="str">
        <f t="shared" si="4"/>
        <v/>
      </c>
    </row>
    <row r="152" spans="1:10" ht="20" customHeight="1">
      <c r="A152" s="19"/>
      <c r="B152" s="40"/>
      <c r="C152" s="40"/>
      <c r="D152" s="19"/>
      <c r="E152" s="19"/>
      <c r="F152" s="19"/>
      <c r="G152" s="40"/>
      <c r="H152" s="18"/>
      <c r="I152" s="40"/>
      <c r="J152" s="23" t="str">
        <f t="shared" si="4"/>
        <v/>
      </c>
    </row>
    <row r="153" spans="1:10" ht="20" customHeight="1">
      <c r="A153" s="11"/>
      <c r="B153" s="39"/>
      <c r="C153" s="39"/>
      <c r="D153" s="11"/>
      <c r="E153" s="11"/>
      <c r="F153" s="11"/>
      <c r="G153" s="39"/>
      <c r="H153" s="10"/>
      <c r="I153" s="39"/>
      <c r="J153" s="15" t="str">
        <f t="shared" si="4"/>
        <v/>
      </c>
    </row>
    <row r="154" spans="1:10" ht="20" customHeight="1">
      <c r="A154" s="19"/>
      <c r="B154" s="40"/>
      <c r="C154" s="40"/>
      <c r="D154" s="19"/>
      <c r="E154" s="19"/>
      <c r="F154" s="19"/>
      <c r="G154" s="40"/>
      <c r="H154" s="18"/>
      <c r="I154" s="40"/>
      <c r="J154" s="23" t="str">
        <f t="shared" si="4"/>
        <v/>
      </c>
    </row>
    <row r="155" spans="1:10" ht="20" customHeight="1">
      <c r="A155" s="11"/>
      <c r="B155" s="39"/>
      <c r="C155" s="39"/>
      <c r="D155" s="11"/>
      <c r="E155" s="11"/>
      <c r="F155" s="11"/>
      <c r="G155" s="39"/>
      <c r="H155" s="10"/>
      <c r="I155" s="39"/>
      <c r="J155" s="15" t="str">
        <f t="shared" si="4"/>
        <v/>
      </c>
    </row>
    <row r="156" spans="1:10" ht="20" customHeight="1">
      <c r="A156" s="19"/>
      <c r="B156" s="40"/>
      <c r="C156" s="40"/>
      <c r="D156" s="19"/>
      <c r="E156" s="19"/>
      <c r="F156" s="19"/>
      <c r="G156" s="40"/>
      <c r="H156" s="18"/>
      <c r="I156" s="40"/>
      <c r="J156" s="23" t="str">
        <f t="shared" si="4"/>
        <v/>
      </c>
    </row>
    <row r="157" spans="1:10" ht="20" customHeight="1">
      <c r="A157" s="11"/>
      <c r="B157" s="39"/>
      <c r="C157" s="39"/>
      <c r="D157" s="11"/>
      <c r="E157" s="11"/>
      <c r="F157" s="11"/>
      <c r="G157" s="39"/>
      <c r="H157" s="10"/>
      <c r="I157" s="39"/>
      <c r="J157" s="15" t="str">
        <f t="shared" si="4"/>
        <v/>
      </c>
    </row>
    <row r="158" spans="1:10" ht="20" customHeight="1">
      <c r="A158" s="19"/>
      <c r="B158" s="40"/>
      <c r="C158" s="40"/>
      <c r="D158" s="19"/>
      <c r="E158" s="19"/>
      <c r="F158" s="19"/>
      <c r="G158" s="40"/>
      <c r="H158" s="18"/>
      <c r="I158" s="40"/>
      <c r="J158" s="23" t="str">
        <f t="shared" si="4"/>
        <v/>
      </c>
    </row>
    <row r="159" spans="1:10" ht="20" customHeight="1">
      <c r="A159" s="11"/>
      <c r="B159" s="39"/>
      <c r="C159" s="39"/>
      <c r="D159" s="11"/>
      <c r="E159" s="11"/>
      <c r="F159" s="11"/>
      <c r="G159" s="39"/>
      <c r="H159" s="10"/>
      <c r="I159" s="39"/>
      <c r="J159" s="15" t="str">
        <f t="shared" si="4"/>
        <v/>
      </c>
    </row>
    <row r="160" spans="1:10" ht="20" customHeight="1">
      <c r="A160" s="19"/>
      <c r="B160" s="40"/>
      <c r="C160" s="40"/>
      <c r="D160" s="19"/>
      <c r="E160" s="19"/>
      <c r="F160" s="19"/>
      <c r="G160" s="40"/>
      <c r="H160" s="18"/>
      <c r="I160" s="40"/>
      <c r="J160" s="23" t="str">
        <f t="shared" si="4"/>
        <v/>
      </c>
    </row>
    <row r="161" spans="1:10" ht="20" customHeight="1">
      <c r="A161" s="11"/>
      <c r="B161" s="39"/>
      <c r="C161" s="39"/>
      <c r="D161" s="11"/>
      <c r="E161" s="11"/>
      <c r="F161" s="11"/>
      <c r="G161" s="39"/>
      <c r="H161" s="10"/>
      <c r="I161" s="39"/>
      <c r="J161" s="15" t="str">
        <f t="shared" si="4"/>
        <v/>
      </c>
    </row>
    <row r="162" spans="1:10" ht="20" customHeight="1">
      <c r="A162" s="19"/>
      <c r="B162" s="40"/>
      <c r="C162" s="40"/>
      <c r="D162" s="19"/>
      <c r="E162" s="19"/>
      <c r="F162" s="19"/>
      <c r="G162" s="40"/>
      <c r="H162" s="18"/>
      <c r="I162" s="40"/>
      <c r="J162" s="23" t="str">
        <f t="shared" si="4"/>
        <v/>
      </c>
    </row>
    <row r="163" spans="1:10" ht="20" customHeight="1">
      <c r="A163" s="11"/>
      <c r="B163" s="39"/>
      <c r="C163" s="39"/>
      <c r="D163" s="11"/>
      <c r="E163" s="11"/>
      <c r="F163" s="11"/>
      <c r="G163" s="39"/>
      <c r="H163" s="10"/>
      <c r="I163" s="39"/>
      <c r="J163" s="15" t="str">
        <f t="shared" si="4"/>
        <v/>
      </c>
    </row>
    <row r="164" spans="1:10" ht="20" customHeight="1">
      <c r="A164" s="19"/>
      <c r="B164" s="40"/>
      <c r="C164" s="40"/>
      <c r="D164" s="19"/>
      <c r="E164" s="19"/>
      <c r="F164" s="19"/>
      <c r="G164" s="40"/>
      <c r="H164" s="18"/>
      <c r="I164" s="40"/>
      <c r="J164" s="23" t="str">
        <f t="shared" si="4"/>
        <v/>
      </c>
    </row>
    <row r="165" spans="1:10" ht="20" customHeight="1">
      <c r="A165" s="11"/>
      <c r="B165" s="39"/>
      <c r="C165" s="39"/>
      <c r="D165" s="11"/>
      <c r="E165" s="11"/>
      <c r="F165" s="11"/>
      <c r="G165" s="39"/>
      <c r="H165" s="10"/>
      <c r="I165" s="39"/>
      <c r="J165" s="15" t="str">
        <f t="shared" ref="J165:J200" si="5">IF($A165="","",IF($I165&lt;&gt;"","Closed — re-verified",IF($F165&lt;&gt;"","Fix applied — not re-verified","Open")))</f>
        <v/>
      </c>
    </row>
    <row r="166" spans="1:10" ht="20" customHeight="1">
      <c r="A166" s="19"/>
      <c r="B166" s="40"/>
      <c r="C166" s="40"/>
      <c r="D166" s="19"/>
      <c r="E166" s="19"/>
      <c r="F166" s="19"/>
      <c r="G166" s="40"/>
      <c r="H166" s="18"/>
      <c r="I166" s="40"/>
      <c r="J166" s="23" t="str">
        <f t="shared" si="5"/>
        <v/>
      </c>
    </row>
    <row r="167" spans="1:10" ht="20" customHeight="1">
      <c r="A167" s="11"/>
      <c r="B167" s="39"/>
      <c r="C167" s="39"/>
      <c r="D167" s="11"/>
      <c r="E167" s="11"/>
      <c r="F167" s="11"/>
      <c r="G167" s="39"/>
      <c r="H167" s="10"/>
      <c r="I167" s="39"/>
      <c r="J167" s="15" t="str">
        <f t="shared" si="5"/>
        <v/>
      </c>
    </row>
    <row r="168" spans="1:10" ht="20" customHeight="1">
      <c r="A168" s="19"/>
      <c r="B168" s="40"/>
      <c r="C168" s="40"/>
      <c r="D168" s="19"/>
      <c r="E168" s="19"/>
      <c r="F168" s="19"/>
      <c r="G168" s="40"/>
      <c r="H168" s="18"/>
      <c r="I168" s="40"/>
      <c r="J168" s="23" t="str">
        <f t="shared" si="5"/>
        <v/>
      </c>
    </row>
    <row r="169" spans="1:10" ht="20" customHeight="1">
      <c r="A169" s="11"/>
      <c r="B169" s="39"/>
      <c r="C169" s="39"/>
      <c r="D169" s="11"/>
      <c r="E169" s="11"/>
      <c r="F169" s="11"/>
      <c r="G169" s="39"/>
      <c r="H169" s="10"/>
      <c r="I169" s="39"/>
      <c r="J169" s="15" t="str">
        <f t="shared" si="5"/>
        <v/>
      </c>
    </row>
    <row r="170" spans="1:10" ht="20" customHeight="1">
      <c r="A170" s="19"/>
      <c r="B170" s="40"/>
      <c r="C170" s="40"/>
      <c r="D170" s="19"/>
      <c r="E170" s="19"/>
      <c r="F170" s="19"/>
      <c r="G170" s="40"/>
      <c r="H170" s="18"/>
      <c r="I170" s="40"/>
      <c r="J170" s="23" t="str">
        <f t="shared" si="5"/>
        <v/>
      </c>
    </row>
    <row r="171" spans="1:10" ht="20" customHeight="1">
      <c r="A171" s="11"/>
      <c r="B171" s="39"/>
      <c r="C171" s="39"/>
      <c r="D171" s="11"/>
      <c r="E171" s="11"/>
      <c r="F171" s="11"/>
      <c r="G171" s="39"/>
      <c r="H171" s="10"/>
      <c r="I171" s="39"/>
      <c r="J171" s="15" t="str">
        <f t="shared" si="5"/>
        <v/>
      </c>
    </row>
    <row r="172" spans="1:10" ht="20" customHeight="1">
      <c r="A172" s="19"/>
      <c r="B172" s="40"/>
      <c r="C172" s="40"/>
      <c r="D172" s="19"/>
      <c r="E172" s="19"/>
      <c r="F172" s="19"/>
      <c r="G172" s="40"/>
      <c r="H172" s="18"/>
      <c r="I172" s="40"/>
      <c r="J172" s="23" t="str">
        <f t="shared" si="5"/>
        <v/>
      </c>
    </row>
    <row r="173" spans="1:10" ht="20" customHeight="1">
      <c r="A173" s="11"/>
      <c r="B173" s="39"/>
      <c r="C173" s="39"/>
      <c r="D173" s="11"/>
      <c r="E173" s="11"/>
      <c r="F173" s="11"/>
      <c r="G173" s="39"/>
      <c r="H173" s="10"/>
      <c r="I173" s="39"/>
      <c r="J173" s="15" t="str">
        <f t="shared" si="5"/>
        <v/>
      </c>
    </row>
    <row r="174" spans="1:10" ht="20" customHeight="1">
      <c r="A174" s="19"/>
      <c r="B174" s="40"/>
      <c r="C174" s="40"/>
      <c r="D174" s="19"/>
      <c r="E174" s="19"/>
      <c r="F174" s="19"/>
      <c r="G174" s="40"/>
      <c r="H174" s="18"/>
      <c r="I174" s="40"/>
      <c r="J174" s="23" t="str">
        <f t="shared" si="5"/>
        <v/>
      </c>
    </row>
    <row r="175" spans="1:10" ht="20" customHeight="1">
      <c r="A175" s="11"/>
      <c r="B175" s="39"/>
      <c r="C175" s="39"/>
      <c r="D175" s="11"/>
      <c r="E175" s="11"/>
      <c r="F175" s="11"/>
      <c r="G175" s="39"/>
      <c r="H175" s="10"/>
      <c r="I175" s="39"/>
      <c r="J175" s="15" t="str">
        <f t="shared" si="5"/>
        <v/>
      </c>
    </row>
    <row r="176" spans="1:10" ht="20" customHeight="1">
      <c r="A176" s="19"/>
      <c r="B176" s="40"/>
      <c r="C176" s="40"/>
      <c r="D176" s="19"/>
      <c r="E176" s="19"/>
      <c r="F176" s="19"/>
      <c r="G176" s="40"/>
      <c r="H176" s="18"/>
      <c r="I176" s="40"/>
      <c r="J176" s="23" t="str">
        <f t="shared" si="5"/>
        <v/>
      </c>
    </row>
    <row r="177" spans="1:10" ht="20" customHeight="1">
      <c r="A177" s="11"/>
      <c r="B177" s="39"/>
      <c r="C177" s="39"/>
      <c r="D177" s="11"/>
      <c r="E177" s="11"/>
      <c r="F177" s="11"/>
      <c r="G177" s="39"/>
      <c r="H177" s="10"/>
      <c r="I177" s="39"/>
      <c r="J177" s="15" t="str">
        <f t="shared" si="5"/>
        <v/>
      </c>
    </row>
    <row r="178" spans="1:10" ht="20" customHeight="1">
      <c r="A178" s="19"/>
      <c r="B178" s="40"/>
      <c r="C178" s="40"/>
      <c r="D178" s="19"/>
      <c r="E178" s="19"/>
      <c r="F178" s="19"/>
      <c r="G178" s="40"/>
      <c r="H178" s="18"/>
      <c r="I178" s="40"/>
      <c r="J178" s="23" t="str">
        <f t="shared" si="5"/>
        <v/>
      </c>
    </row>
    <row r="179" spans="1:10" ht="20" customHeight="1">
      <c r="A179" s="11"/>
      <c r="B179" s="39"/>
      <c r="C179" s="39"/>
      <c r="D179" s="11"/>
      <c r="E179" s="11"/>
      <c r="F179" s="11"/>
      <c r="G179" s="39"/>
      <c r="H179" s="10"/>
      <c r="I179" s="39"/>
      <c r="J179" s="15" t="str">
        <f t="shared" si="5"/>
        <v/>
      </c>
    </row>
    <row r="180" spans="1:10" ht="20" customHeight="1">
      <c r="A180" s="19"/>
      <c r="B180" s="40"/>
      <c r="C180" s="40"/>
      <c r="D180" s="19"/>
      <c r="E180" s="19"/>
      <c r="F180" s="19"/>
      <c r="G180" s="40"/>
      <c r="H180" s="18"/>
      <c r="I180" s="40"/>
      <c r="J180" s="23" t="str">
        <f t="shared" si="5"/>
        <v/>
      </c>
    </row>
    <row r="181" spans="1:10" ht="20" customHeight="1">
      <c r="A181" s="11"/>
      <c r="B181" s="39"/>
      <c r="C181" s="39"/>
      <c r="D181" s="11"/>
      <c r="E181" s="11"/>
      <c r="F181" s="11"/>
      <c r="G181" s="39"/>
      <c r="H181" s="10"/>
      <c r="I181" s="39"/>
      <c r="J181" s="15" t="str">
        <f t="shared" si="5"/>
        <v/>
      </c>
    </row>
    <row r="182" spans="1:10" ht="20" customHeight="1">
      <c r="A182" s="19"/>
      <c r="B182" s="40"/>
      <c r="C182" s="40"/>
      <c r="D182" s="19"/>
      <c r="E182" s="19"/>
      <c r="F182" s="19"/>
      <c r="G182" s="40"/>
      <c r="H182" s="18"/>
      <c r="I182" s="40"/>
      <c r="J182" s="23" t="str">
        <f t="shared" si="5"/>
        <v/>
      </c>
    </row>
    <row r="183" spans="1:10" ht="20" customHeight="1">
      <c r="A183" s="11"/>
      <c r="B183" s="39"/>
      <c r="C183" s="39"/>
      <c r="D183" s="11"/>
      <c r="E183" s="11"/>
      <c r="F183" s="11"/>
      <c r="G183" s="39"/>
      <c r="H183" s="10"/>
      <c r="I183" s="39"/>
      <c r="J183" s="15" t="str">
        <f t="shared" si="5"/>
        <v/>
      </c>
    </row>
    <row r="184" spans="1:10" ht="20" customHeight="1">
      <c r="A184" s="19"/>
      <c r="B184" s="40"/>
      <c r="C184" s="40"/>
      <c r="D184" s="19"/>
      <c r="E184" s="19"/>
      <c r="F184" s="19"/>
      <c r="G184" s="40"/>
      <c r="H184" s="18"/>
      <c r="I184" s="40"/>
      <c r="J184" s="23" t="str">
        <f t="shared" si="5"/>
        <v/>
      </c>
    </row>
    <row r="185" spans="1:10" ht="20" customHeight="1">
      <c r="A185" s="11"/>
      <c r="B185" s="39"/>
      <c r="C185" s="39"/>
      <c r="D185" s="11"/>
      <c r="E185" s="11"/>
      <c r="F185" s="11"/>
      <c r="G185" s="39"/>
      <c r="H185" s="10"/>
      <c r="I185" s="39"/>
      <c r="J185" s="15" t="str">
        <f t="shared" si="5"/>
        <v/>
      </c>
    </row>
    <row r="186" spans="1:10" ht="20" customHeight="1">
      <c r="A186" s="19"/>
      <c r="B186" s="40"/>
      <c r="C186" s="40"/>
      <c r="D186" s="19"/>
      <c r="E186" s="19"/>
      <c r="F186" s="19"/>
      <c r="G186" s="40"/>
      <c r="H186" s="18"/>
      <c r="I186" s="40"/>
      <c r="J186" s="23" t="str">
        <f t="shared" si="5"/>
        <v/>
      </c>
    </row>
    <row r="187" spans="1:10" ht="20" customHeight="1">
      <c r="A187" s="11"/>
      <c r="B187" s="39"/>
      <c r="C187" s="39"/>
      <c r="D187" s="11"/>
      <c r="E187" s="11"/>
      <c r="F187" s="11"/>
      <c r="G187" s="39"/>
      <c r="H187" s="10"/>
      <c r="I187" s="39"/>
      <c r="J187" s="15" t="str">
        <f t="shared" si="5"/>
        <v/>
      </c>
    </row>
    <row r="188" spans="1:10" ht="20" customHeight="1">
      <c r="A188" s="19"/>
      <c r="B188" s="40"/>
      <c r="C188" s="40"/>
      <c r="D188" s="19"/>
      <c r="E188" s="19"/>
      <c r="F188" s="19"/>
      <c r="G188" s="40"/>
      <c r="H188" s="18"/>
      <c r="I188" s="40"/>
      <c r="J188" s="23" t="str">
        <f t="shared" si="5"/>
        <v/>
      </c>
    </row>
    <row r="189" spans="1:10" ht="20" customHeight="1">
      <c r="A189" s="11"/>
      <c r="B189" s="39"/>
      <c r="C189" s="39"/>
      <c r="D189" s="11"/>
      <c r="E189" s="11"/>
      <c r="F189" s="11"/>
      <c r="G189" s="39"/>
      <c r="H189" s="10"/>
      <c r="I189" s="39"/>
      <c r="J189" s="15" t="str">
        <f t="shared" si="5"/>
        <v/>
      </c>
    </row>
    <row r="190" spans="1:10" ht="20" customHeight="1">
      <c r="A190" s="19"/>
      <c r="B190" s="40"/>
      <c r="C190" s="40"/>
      <c r="D190" s="19"/>
      <c r="E190" s="19"/>
      <c r="F190" s="19"/>
      <c r="G190" s="40"/>
      <c r="H190" s="18"/>
      <c r="I190" s="40"/>
      <c r="J190" s="23" t="str">
        <f t="shared" si="5"/>
        <v/>
      </c>
    </row>
    <row r="191" spans="1:10" ht="20" customHeight="1">
      <c r="A191" s="11"/>
      <c r="B191" s="39"/>
      <c r="C191" s="39"/>
      <c r="D191" s="11"/>
      <c r="E191" s="11"/>
      <c r="F191" s="11"/>
      <c r="G191" s="39"/>
      <c r="H191" s="10"/>
      <c r="I191" s="39"/>
      <c r="J191" s="15" t="str">
        <f t="shared" si="5"/>
        <v/>
      </c>
    </row>
    <row r="192" spans="1:10" ht="20" customHeight="1">
      <c r="A192" s="19"/>
      <c r="B192" s="40"/>
      <c r="C192" s="40"/>
      <c r="D192" s="19"/>
      <c r="E192" s="19"/>
      <c r="F192" s="19"/>
      <c r="G192" s="40"/>
      <c r="H192" s="18"/>
      <c r="I192" s="40"/>
      <c r="J192" s="23" t="str">
        <f t="shared" si="5"/>
        <v/>
      </c>
    </row>
    <row r="193" spans="1:10" ht="20" customHeight="1">
      <c r="A193" s="11"/>
      <c r="B193" s="39"/>
      <c r="C193" s="39"/>
      <c r="D193" s="11"/>
      <c r="E193" s="11"/>
      <c r="F193" s="11"/>
      <c r="G193" s="39"/>
      <c r="H193" s="10"/>
      <c r="I193" s="39"/>
      <c r="J193" s="15" t="str">
        <f t="shared" si="5"/>
        <v/>
      </c>
    </row>
    <row r="194" spans="1:10" ht="20" customHeight="1">
      <c r="A194" s="19"/>
      <c r="B194" s="40"/>
      <c r="C194" s="40"/>
      <c r="D194" s="19"/>
      <c r="E194" s="19"/>
      <c r="F194" s="19"/>
      <c r="G194" s="40"/>
      <c r="H194" s="18"/>
      <c r="I194" s="40"/>
      <c r="J194" s="23" t="str">
        <f t="shared" si="5"/>
        <v/>
      </c>
    </row>
    <row r="195" spans="1:10" ht="20" customHeight="1">
      <c r="A195" s="11"/>
      <c r="B195" s="39"/>
      <c r="C195" s="39"/>
      <c r="D195" s="11"/>
      <c r="E195" s="11"/>
      <c r="F195" s="11"/>
      <c r="G195" s="39"/>
      <c r="H195" s="10"/>
      <c r="I195" s="39"/>
      <c r="J195" s="15" t="str">
        <f t="shared" si="5"/>
        <v/>
      </c>
    </row>
    <row r="196" spans="1:10" ht="20" customHeight="1">
      <c r="A196" s="19"/>
      <c r="B196" s="40"/>
      <c r="C196" s="40"/>
      <c r="D196" s="19"/>
      <c r="E196" s="19"/>
      <c r="F196" s="19"/>
      <c r="G196" s="40"/>
      <c r="H196" s="18"/>
      <c r="I196" s="40"/>
      <c r="J196" s="23" t="str">
        <f t="shared" si="5"/>
        <v/>
      </c>
    </row>
    <row r="197" spans="1:10" ht="20" customHeight="1">
      <c r="A197" s="11"/>
      <c r="B197" s="39"/>
      <c r="C197" s="39"/>
      <c r="D197" s="11"/>
      <c r="E197" s="11"/>
      <c r="F197" s="11"/>
      <c r="G197" s="39"/>
      <c r="H197" s="10"/>
      <c r="I197" s="39"/>
      <c r="J197" s="15" t="str">
        <f t="shared" si="5"/>
        <v/>
      </c>
    </row>
    <row r="198" spans="1:10" ht="20" customHeight="1">
      <c r="A198" s="19"/>
      <c r="B198" s="40"/>
      <c r="C198" s="40"/>
      <c r="D198" s="19"/>
      <c r="E198" s="19"/>
      <c r="F198" s="19"/>
      <c r="G198" s="40"/>
      <c r="H198" s="18"/>
      <c r="I198" s="40"/>
      <c r="J198" s="23" t="str">
        <f t="shared" si="5"/>
        <v/>
      </c>
    </row>
    <row r="199" spans="1:10" ht="20" customHeight="1">
      <c r="A199" s="11"/>
      <c r="B199" s="39"/>
      <c r="C199" s="39"/>
      <c r="D199" s="11"/>
      <c r="E199" s="11"/>
      <c r="F199" s="11"/>
      <c r="G199" s="39"/>
      <c r="H199" s="10"/>
      <c r="I199" s="39"/>
      <c r="J199" s="15" t="str">
        <f t="shared" si="5"/>
        <v/>
      </c>
    </row>
    <row r="200" spans="1:10" ht="20" customHeight="1">
      <c r="A200" s="19"/>
      <c r="B200" s="40"/>
      <c r="C200" s="40"/>
      <c r="D200" s="19"/>
      <c r="E200" s="19"/>
      <c r="F200" s="19"/>
      <c r="G200" s="40"/>
      <c r="H200" s="18"/>
      <c r="I200" s="40"/>
      <c r="J200" s="23" t="str">
        <f t="shared" si="5"/>
        <v/>
      </c>
    </row>
  </sheetData>
  <autoFilter ref="A4:J200" xr:uid="{00000000-0009-0000-0000-000004000000}"/>
  <mergeCells count="2">
    <mergeCell ref="A1:J1"/>
    <mergeCell ref="A2:J2"/>
  </mergeCells>
  <conditionalFormatting sqref="J5:J200">
    <cfRule type="expression" dxfId="2" priority="1">
      <formula>LEFT($J5,6)="Closed"</formula>
    </cfRule>
    <cfRule type="cellIs" dxfId="1" priority="2" operator="equal">
      <formula>"Open"</formula>
    </cfRule>
    <cfRule type="expression" dxfId="0" priority="3">
      <formula>LEFT($J5,3)="Fix"</formula>
    </cfRule>
  </conditionalFormatting>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4</vt:i4>
      </vt:variant>
    </vt:vector>
  </HeadingPairs>
  <TitlesOfParts>
    <vt:vector size="10" baseType="lpstr">
      <vt:lpstr>Sheet1</vt:lpstr>
      <vt:lpstr>How to Use</vt:lpstr>
      <vt:lpstr>Run Summary</vt:lpstr>
      <vt:lpstr>Check Results</vt:lpstr>
      <vt:lpstr>Check Catalog</vt:lpstr>
      <vt:lpstr>Failure Log</vt:lpstr>
      <vt:lpstr>'Check Catalog'!Print_Titles</vt:lpstr>
      <vt:lpstr>'Check Results'!Print_Titles</vt:lpstr>
      <vt:lpstr>'Failure Log'!Print_Titles</vt:lpstr>
      <vt:lpstr>'Run Summary'!Print_Titles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Evelyn Livant</cp:lastModifiedBy>
  <dcterms:created xsi:type="dcterms:W3CDTF">2026-09-20T16:27:21Z</dcterms:created>
  <dcterms:modified xsi:type="dcterms:W3CDTF">2026-09-20T16:29:43Z</dcterms:modified>
</cp:coreProperties>
</file>