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te Summary" sheetId="2" state="visible" r:id="rId2"/>
    <sheet xmlns:r="http://schemas.openxmlformats.org/officeDocument/2006/relationships" name="Build Checklist" sheetId="3" state="visible" r:id="rId3"/>
    <sheet xmlns:r="http://schemas.openxmlformats.org/officeDocument/2006/relationships" name="Re-validation Log" sheetId="4" state="visible" r:id="rId4"/>
    <sheet xmlns:r="http://schemas.openxmlformats.org/officeDocument/2006/relationships" name="Triggers" sheetId="5" state="visible" r:id="rId5"/>
  </sheets>
  <definedNames>
    <definedName name="_xlnm.Print_Titles" localSheetId="0">'How to Use'!$1:$2</definedName>
    <definedName name="_xlnm.Print_Titles" localSheetId="1">'Gate Summary'!$4:$4</definedName>
    <definedName name="_xlnm._FilterDatabase" localSheetId="2" hidden="1">'Build Checklist'!$A$4:$L$600</definedName>
    <definedName name="_xlnm.Print_Titles" localSheetId="2">'Build Checklist'!$4:$4</definedName>
    <definedName name="_xlnm.Print_Area" localSheetId="2">'Build Checklist'!$A$1:$K$86</definedName>
    <definedName name="_xlnm._FilterDatabase" localSheetId="3" hidden="1">'Re-validation Log'!$A$4:$I$300</definedName>
    <definedName name="_xlnm.Print_Titles" localSheetId="3">'Re-validation Log'!$4:$4</definedName>
    <definedName name="_xlnm.Print_Area" localSheetId="3">'Re-validation Log'!$A$1:$I$34</definedName>
    <definedName name="_xlnm.Print_Titles" localSheetId="4">'Triggers'!$4:$4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5">
    <font>
      <name val="Calibri"/>
      <family val="2"/>
      <color theme="1"/>
      <sz val="11"/>
      <scheme val="minor"/>
    </font>
    <font>
      <name val="Times New Roman"/>
      <b val="1"/>
      <color rgb="FF1F3864"/>
      <sz val="15"/>
    </font>
    <font>
      <name val="Times New Roman"/>
      <i val="1"/>
      <color rgb="FF595959"/>
      <sz val="10"/>
    </font>
    <font>
      <name val="Times New Roman"/>
      <b val="1"/>
      <color rgb="FFFFFFFF"/>
      <sz val="10.5"/>
    </font>
    <font>
      <name val="Times New Roman"/>
      <b val="1"/>
      <color rgb="FF1F3864"/>
      <sz val="10"/>
    </font>
    <font>
      <name val="Times New Roman"/>
      <color rgb="FF1F3864"/>
      <sz val="10"/>
    </font>
    <font>
      <name val="Times New Roman"/>
      <color rgb="FF404040"/>
      <sz val="9.5"/>
    </font>
    <font>
      <name val="Times New Roman"/>
      <color rgb="FF404040"/>
      <sz val="10"/>
    </font>
    <font>
      <name val="Times New Roman"/>
      <b val="1"/>
      <color rgb="FF404040"/>
      <sz val="10"/>
    </font>
    <font>
      <name val="Times New Roman"/>
      <b val="1"/>
      <color rgb="FF1B9E8F"/>
      <sz val="10"/>
    </font>
    <font>
      <name val="Times New Roman"/>
      <b val="1"/>
      <color rgb="FFFFFFFF"/>
      <sz val="11"/>
    </font>
    <font>
      <name val="Times New Roman"/>
      <b val="1"/>
      <color rgb="FF1F3864"/>
      <sz val="10.5"/>
    </font>
    <font>
      <name val="Times New Roman"/>
      <color rgb="FF808080"/>
      <sz val="9.5"/>
    </font>
    <font>
      <name val="Times New Roman"/>
      <color rgb="FF1B9E8F"/>
      <sz val="10"/>
    </font>
    <font>
      <name val="Times New Roman"/>
      <color rgb="FF1B9E8F"/>
      <sz val="9.5"/>
    </font>
    <font>
      <name val="Times New Roman"/>
      <sz val="10"/>
    </font>
    <font>
      <name val="Times New Roman"/>
      <b val="1"/>
      <color rgb="FF0563C1"/>
      <sz val="10"/>
      <u val="single"/>
    </font>
    <font>
      <name val="Times New Roman"/>
      <color rgb="FF808080"/>
      <sz val="10"/>
    </font>
    <font>
      <name val="Times New Roman"/>
      <b val="1"/>
      <color rgb="FF1F3864"/>
      <sz val="16"/>
    </font>
    <font>
      <name val="Times New Roman"/>
      <i val="1"/>
      <color rgb="FF595959"/>
      <sz val="10.5"/>
    </font>
    <font>
      <name val="Times New Roman"/>
      <b val="1"/>
      <color rgb="FFFFFFFF"/>
      <sz val="11.5"/>
    </font>
    <font>
      <name val="Times New Roman"/>
      <b val="1"/>
      <color rgb="FF0563C1"/>
      <sz val="10.5"/>
      <u val="single"/>
    </font>
    <font>
      <name val="Times New Roman"/>
      <b val="1"/>
      <color rgb="FF1B9E8F"/>
      <sz val="10.5"/>
    </font>
    <font>
      <name val="Times New Roman"/>
      <color rgb="FF404040"/>
      <sz val="10.5"/>
    </font>
    <font>
      <name val="Times New Roman"/>
      <color rgb="FF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vertical="center" wrapText="1"/>
    </xf>
    <xf numFmtId="0" fontId="20" fillId="2" borderId="0" applyAlignment="1" pivotButton="0" quotePrefix="0" xfId="0">
      <alignment vertical="center" indent="1"/>
    </xf>
    <xf numFmtId="0" fontId="21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top"/>
    </xf>
    <xf numFmtId="0" fontId="23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16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vertical="top" wrapText="1"/>
    </xf>
    <xf numFmtId="0" fontId="10" fillId="2" borderId="1" applyAlignment="1" pivotButton="0" quotePrefix="0" xfId="0">
      <alignment horizontal="left" vertical="center" wrapText="1"/>
    </xf>
    <xf numFmtId="0" fontId="11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12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13" fillId="3" borderId="1" applyAlignment="1" pivotButton="0" quotePrefix="0" xfId="0">
      <alignment horizontal="center" vertical="top" wrapText="1"/>
    </xf>
    <xf numFmtId="0" fontId="14" fillId="3" borderId="1" applyAlignment="1" pivotButton="0" quotePrefix="0" xfId="0">
      <alignment vertical="top" wrapText="1"/>
    </xf>
    <xf numFmtId="164" fontId="7" fillId="3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vertical="top" wrapText="1"/>
    </xf>
    <xf numFmtId="164" fontId="1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17" fillId="3" borderId="1" applyAlignment="1" pivotButton="0" quotePrefix="0" xfId="0">
      <alignment vertical="top" wrapText="1"/>
    </xf>
    <xf numFmtId="0" fontId="24" fillId="0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name val="Times New Roman"/>
        <b val="1"/>
        <color rgb="FF1E7B34"/>
        <sz val="10"/>
      </font>
      <fill>
        <patternFill patternType="solid">
          <fgColor rgb="FFD6EFD9"/>
        </patternFill>
      </fill>
    </dxf>
    <dxf>
      <font>
        <name val="Times New Roman"/>
        <b val="1"/>
        <color rgb="FFB01C1C"/>
        <sz val="10"/>
      </font>
      <fill>
        <patternFill patternType="solid">
          <fgColor rgb="FFF7D4D4"/>
        </patternFill>
      </fill>
    </dxf>
    <dxf>
      <font>
        <name val="Times New Roman"/>
        <b val="1"/>
        <color rgb="FFC8860A"/>
        <sz val="10"/>
      </font>
      <fill>
        <patternFill patternType="solid">
          <fgColor rgb="FFFBE3C8"/>
        </patternFill>
      </fill>
    </dxf>
    <dxf>
      <font>
        <name val="Times New Roman"/>
        <b val="1"/>
        <color rgb="FFB01C1C"/>
        <sz val="10"/>
      </font>
    </dxf>
    <dxf>
      <font>
        <name val="Times New Roman"/>
        <color rgb="FF808080"/>
        <sz val="10"/>
      </font>
      <fill>
        <patternFill patternType="solid">
          <fgColor rgb="FFEDEDED"/>
        </patternFill>
      </fill>
    </dxf>
    <dxf>
      <font>
        <name val="Times New Roman"/>
        <color rgb="FFC8860A"/>
        <sz val="10"/>
      </font>
      <fill>
        <patternFill patternType="solid">
          <fgColor rgb="FFFBE3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Gate Summary'!A1" TargetMode="External" Id="rId1"/><Relationship Type="http://schemas.openxmlformats.org/officeDocument/2006/relationships/hyperlink" Target="#'Build Checklist'!A1" TargetMode="External" Id="rId2"/><Relationship Type="http://schemas.openxmlformats.org/officeDocument/2006/relationships/hyperlink" Target="#'Re-validation Log'!A1" TargetMode="External" Id="rId3"/><Relationship Type="http://schemas.openxmlformats.org/officeDocument/2006/relationships/hyperlink" Target="#Triggers!A1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#'Build Checklist'!A5" TargetMode="External" Id="rId1"/><Relationship Type="http://schemas.openxmlformats.org/officeDocument/2006/relationships/hyperlink" Target="#'Build Checklist'!A9" TargetMode="External" Id="rId2"/><Relationship Type="http://schemas.openxmlformats.org/officeDocument/2006/relationships/hyperlink" Target="#'Build Checklist'!A18" TargetMode="External" Id="rId3"/><Relationship Type="http://schemas.openxmlformats.org/officeDocument/2006/relationships/hyperlink" Target="#'Build Checklist'!A25" TargetMode="External" Id="rId4"/><Relationship Type="http://schemas.openxmlformats.org/officeDocument/2006/relationships/hyperlink" Target="#'Build Checklist'!A30" TargetMode="External" Id="rId5"/><Relationship Type="http://schemas.openxmlformats.org/officeDocument/2006/relationships/hyperlink" Target="#'Build Checklist'!A41" TargetMode="External" Id="rId6"/><Relationship Type="http://schemas.openxmlformats.org/officeDocument/2006/relationships/hyperlink" Target="#'Build Checklist'!A55" TargetMode="External" Id="rId7"/><Relationship Type="http://schemas.openxmlformats.org/officeDocument/2006/relationships/hyperlink" Target="#'Build Checklist'!A61" TargetMode="External" Id="rId8"/><Relationship Type="http://schemas.openxmlformats.org/officeDocument/2006/relationships/hyperlink" Target="#'Build Checklist'!A75" TargetMode="External" Id="rId9"/><Relationship Type="http://schemas.openxmlformats.org/officeDocument/2006/relationships/hyperlink" Target="#'Build Checklist'!A83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validation/V01_Staged_vs_Loaded_Rows.docx" TargetMode="External" Id="rId1"/><Relationship Type="http://schemas.openxmlformats.org/officeDocument/2006/relationships/hyperlink" Target="validation/V12_Lifecycle_Columns_Current.docx" TargetMode="External" Id="rId2"/><Relationship Type="http://schemas.openxmlformats.org/officeDocument/2006/relationships/hyperlink" Target="validation/V02_Sector_Month_Coverage.docx" TargetMode="External" Id="rId3"/><Relationship Type="http://schemas.openxmlformats.org/officeDocument/2006/relationships/hyperlink" Target="validation/V05_Referential_Integrity.docx" TargetMode="External" Id="rId4"/><Relationship Type="http://schemas.openxmlformats.org/officeDocument/2006/relationships/hyperlink" Target="validation/V06_Date_Relationship_Integrity.docx" TargetMode="External" Id="rId5"/><Relationship Type="http://schemas.openxmlformats.org/officeDocument/2006/relationships/hyperlink" Target="validation/V11_Negative_Value_Handling.docx" TargetMode="External" Id="rId6"/><Relationship Type="http://schemas.openxmlformats.org/officeDocument/2006/relationships/hyperlink" Target="validation/V01_Staged_vs_Loaded_Rows.docx" TargetMode="External" Id="rId7"/><Relationship Type="http://schemas.openxmlformats.org/officeDocument/2006/relationships/hyperlink" Target="validation/V02_Sector_Month_Coverage.docx" TargetMode="External" Id="rId8"/><Relationship Type="http://schemas.openxmlformats.org/officeDocument/2006/relationships/hyperlink" Target="validation/V03_Aggregate_Reconciliation.docx" TargetMode="External" Id="rId9"/><Relationship Type="http://schemas.openxmlformats.org/officeDocument/2006/relationships/hyperlink" Target="validation/V04_Census_vs_FRED_Cross_Check.docx" TargetMode="External" Id="rId10"/><Relationship Type="http://schemas.openxmlformats.org/officeDocument/2006/relationships/hyperlink" Target="validation/V05_Referential_Integrity.docx" TargetMode="External" Id="rId11"/><Relationship Type="http://schemas.openxmlformats.org/officeDocument/2006/relationships/hyperlink" Target="validation/V06_Date_Relationship_Integrity.docx" TargetMode="External" Id="rId12"/><Relationship Type="http://schemas.openxmlformats.org/officeDocument/2006/relationships/hyperlink" Target="validation/V09_Channel_Baseline_Integrity.docx" TargetMode="External" Id="rId13"/><Relationship Type="http://schemas.openxmlformats.org/officeDocument/2006/relationships/hyperlink" Target="validation/V10_Channel_Story_National_Counterpart.docx" TargetMode="External" Id="rId14"/><Relationship Type="http://schemas.openxmlformats.org/officeDocument/2006/relationships/hyperlink" Target="validation/V11_Negative_Value_Handling.docx" TargetMode="External" Id="rId15"/><Relationship Type="http://schemas.openxmlformats.org/officeDocument/2006/relationships/hyperlink" Target="validation/V12_Lifecycle_Columns_Current.docx" TargetMode="External" Id="rId16"/><Relationship Type="http://schemas.openxmlformats.org/officeDocument/2006/relationships/hyperlink" Target="validation/V13_Cohort_Census.docx" TargetMode="External" Id="rId17"/><Relationship Type="http://schemas.openxmlformats.org/officeDocument/2006/relationships/hyperlink" Target="validation/V14_Pareto_Accumulation.docx" TargetMode="External" Id="rId18"/><Relationship Type="http://schemas.openxmlformats.org/officeDocument/2006/relationships/hyperlink" Target="validation/V17_Report_to_Model_Binding.docx" TargetMode="External" Id="rId19"/><Relationship Type="http://schemas.openxmlformats.org/officeDocument/2006/relationships/hyperlink" Target="validation/V17_Report_to_Model_Binding.docx" TargetMode="External" Id="rId20"/><Relationship Type="http://schemas.openxmlformats.org/officeDocument/2006/relationships/hyperlink" Target="validation/V17_Report_to_Model_Binding.docx" TargetMode="External" Id="rId21"/><Relationship Type="http://schemas.openxmlformats.org/officeDocument/2006/relationships/hyperlink" Target="validation/V07_Measure_Unit_Consistency.docx" TargetMode="External" Id="rId22"/><Relationship Type="http://schemas.openxmlformats.org/officeDocument/2006/relationships/hyperlink" Target="validation/V15_Coefficients_Carry_Their_Sample.docx" TargetMode="External" Id="rId23"/><Relationship Type="http://schemas.openxmlformats.org/officeDocument/2006/relationships/hyperlink" Target="validation/V16_Left_Censored_Cohort_Labelled.docx" TargetMode="External" Id="rId24"/><Relationship Type="http://schemas.openxmlformats.org/officeDocument/2006/relationships/hyperlink" Target="validation/V08_Cases_vs_Dollars_Separation.docx" TargetMode="External" Id="rId25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C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92" customWidth="1" min="3" max="3"/>
  </cols>
  <sheetData>
    <row r="1" ht="26" customHeight="1">
      <c r="A1" s="1" t="inlineStr">
        <is>
          <t>Document 26 — Validation Timing Checklist</t>
        </is>
      </c>
    </row>
    <row r="2" ht="44" customHeight="1">
      <c r="A2" s="2" t="inlineStr">
        <is>
          <t>How to use this workbook. It is the tick-list for document 25, the Validation Timing Guide: one row for every check at every gate, in build order, and a log for re-validation after the build. Document 25 says why and how; this workbook is where you mark it done.</t>
        </is>
      </c>
    </row>
    <row r="3"/>
    <row r="4" ht="22" customHeight="1">
      <c r="A4" s="3" t="inlineStr">
        <is>
          <t>THE TABS</t>
        </is>
      </c>
    </row>
    <row r="5"/>
    <row r="6" ht="32" customHeight="1">
      <c r="B6" s="4" t="inlineStr">
        <is>
          <t>Gate Summary</t>
        </is>
      </c>
      <c r="C6" s="5" t="inlineStr">
        <is>
          <t>One line per gate: how many checks, how many passed, failed or still to go, and the gate’s status. All formulas. Click a gate code to jump to it.</t>
        </is>
      </c>
    </row>
    <row r="7" ht="16" customHeight="1">
      <c r="B7" s="4" t="inlineStr">
        <is>
          <t>Build Checklist</t>
        </is>
      </c>
      <c r="C7" s="5" t="inlineStr">
        <is>
          <t>Ten gates, G0 to G9, and 76 checks in build order. This is the tab you fill in.</t>
        </is>
      </c>
    </row>
    <row r="8" ht="32" customHeight="1">
      <c r="B8" s="4" t="inlineStr">
        <is>
          <t>Re-validation Log</t>
        </is>
      </c>
      <c r="C8" s="5" t="inlineStr">
        <is>
          <t>One row per event after the build — a reload, a measure edit, a changed visual. Pick the Event and the tab tells you what to re-run.</t>
        </is>
      </c>
    </row>
    <row r="9" ht="29.5" customHeight="1">
      <c r="B9" s="4" t="inlineStr">
        <is>
          <t>Triggers</t>
        </is>
      </c>
      <c r="C9" s="5" t="inlineStr">
        <is>
          <t>The eleven events from document 25 Table 4.1, with what each requires. Reference only; the Re-validation Log reads from it.</t>
        </is>
      </c>
    </row>
    <row r="10" ht="22" customHeight="1">
      <c r="A10" s="3" t="inlineStr">
        <is>
          <t>RECORDING THE INITIAL BUILD</t>
        </is>
      </c>
    </row>
    <row r="11"/>
    <row r="12" ht="30" customHeight="1">
      <c r="A12" s="6" t="n">
        <v>1</v>
      </c>
      <c r="B12" s="7" t="inlineStr">
        <is>
          <t>Work on the Build Checklist from the top. Do not start a gate’s work until the gate before it reads PASSED on the Gate Summary tab.</t>
        </is>
      </c>
    </row>
    <row r="13" ht="32" customHeight="1">
      <c r="A13" s="6" t="n">
        <v>2</v>
      </c>
      <c r="B13" s="7" t="inlineStr">
        <is>
          <t>For each row, set Result (Pass, Fail, N/A or Not run), the Date, and Checked by. Put the number you saw in Observed value — “330,080 staged / 330,080 loaded”, not “ok”.</t>
        </is>
      </c>
    </row>
    <row r="14" ht="44" customHeight="1">
      <c r="A14" s="6" t="n">
        <v>3</v>
      </c>
      <c r="B14" s="7" t="inlineStr">
        <is>
          <t>When a row carries a Suite number, the column beside it says “Yes — check n”. Record that result in document 22 as well, on the Check Results tab, against the same check. Doc 22 is the formal record of the seventeen; this workbook is the working tick-list. The Procedure column on the same row names the step-by-step document for that check in docs/validation/ — open it if you have not run the check before.</t>
        </is>
      </c>
    </row>
    <row r="15" ht="44" customHeight="1">
      <c r="A15" s="6" t="n">
        <v>4</v>
      </c>
      <c r="B15" s="7" t="inlineStr">
        <is>
          <t>G5 and G8 are the two passes. G5 ends with doc 22 Run 1 reading INCOMPLETE — 5 not recorded; G8 ends with it reading PASS. Both are rows here, so the checklist cannot be completed while doc 22 disagrees.</t>
        </is>
      </c>
    </row>
    <row r="16" ht="32" customHeight="1">
      <c r="A16" s="6" t="n">
        <v>5</v>
      </c>
      <c r="B16" s="7" t="inlineStr">
        <is>
          <t>A Fail stops the gate. The Gate Summary reads BLOCKED until the row is fixed and re-recorded as Pass. Log the failure on the doc 22 Failure Log as well.</t>
        </is>
      </c>
    </row>
    <row r="17" ht="22" customHeight="1">
      <c r="A17" s="3" t="inlineStr">
        <is>
          <t>WHAT THE GATE STATUS MEANS</t>
        </is>
      </c>
    </row>
    <row r="18"/>
    <row r="19" ht="18" customHeight="1">
      <c r="B19" s="8" t="inlineStr">
        <is>
          <t>PASSED</t>
        </is>
      </c>
      <c r="C19" s="5" t="inlineStr">
        <is>
          <t>Every row in the gate is Pass or N/A. Start the next gate.</t>
        </is>
      </c>
    </row>
    <row r="20" ht="18" customHeight="1">
      <c r="B20" s="8" t="inlineStr">
        <is>
          <t>OPEN — n to go</t>
        </is>
      </c>
      <c r="C20" s="5" t="inlineStr">
        <is>
          <t>Rows still at Not run or blank. The number is how many.</t>
        </is>
      </c>
    </row>
    <row r="21" ht="18" customHeight="1">
      <c r="B21" s="8" t="inlineStr">
        <is>
          <t>BLOCKED</t>
        </is>
      </c>
      <c r="C21" s="5" t="inlineStr">
        <is>
          <t>At least one row is Fail. Nothing downstream of this gate should be built on it.</t>
        </is>
      </c>
    </row>
    <row r="22" ht="30" customHeight="1">
      <c r="B22" s="8" t="inlineStr">
        <is>
          <t>All: COMPLETE</t>
        </is>
      </c>
      <c r="C22" s="5" t="inlineStr">
        <is>
          <t>The bottom summary line: every row in every gate is Pass or N/A. The initial build is validated.</t>
        </is>
      </c>
    </row>
    <row r="23" ht="22" customHeight="1">
      <c r="A23" s="3" t="inlineStr">
        <is>
          <t>AFTER THE BUILD</t>
        </is>
      </c>
    </row>
    <row r="24"/>
    <row r="25" ht="30" customHeight="1">
      <c r="A25" s="6" t="n">
        <v>1</v>
      </c>
      <c r="B25" s="7" t="inlineStr">
        <is>
          <t>When one of the Triggers happens, add a row to the Re-validation Log with the date and the Event.</t>
        </is>
      </c>
    </row>
    <row r="26" ht="32" customHeight="1">
      <c r="A26" s="6" t="n">
        <v>2</v>
      </c>
      <c r="B26" s="7" t="inlineStr">
        <is>
          <t>What to re-run and the Doc 22 Trigger fill themselves in. Run those checks, then record the Result — and the Run ID if you started a new run in document 22.</t>
        </is>
      </c>
    </row>
    <row r="27" ht="32" customHeight="1">
      <c r="A27" s="6" t="n">
        <v>3</v>
      </c>
      <c r="B27" s="7" t="inlineStr">
        <is>
          <t>Something not on the list? Type it in Event anyway; What to re-run reads “not a listed event”. Add it to the Triggers tab if it will happen again.</t>
        </is>
      </c>
    </row>
    <row r="28" ht="22" customHeight="1">
      <c r="A28" s="3" t="inlineStr">
        <is>
          <t>RULES</t>
        </is>
      </c>
    </row>
    <row r="29"/>
    <row r="30" ht="30" customHeight="1">
      <c r="A30" s="6" t="inlineStr">
        <is>
          <t>•</t>
        </is>
      </c>
      <c r="B30" s="7" t="inlineStr">
        <is>
          <t>N/A needs a reason in Observed value / notes. Skipped is not N/A — leave it as Not run.</t>
        </is>
      </c>
    </row>
    <row r="31" ht="32" customHeight="1">
      <c r="A31" s="6" t="inlineStr">
        <is>
          <t>•</t>
        </is>
      </c>
      <c r="B31" s="7" t="inlineStr">
        <is>
          <t>To add a check, insert a row inside the gate on the Build Checklist and set its Gate code in column A. The Gate Summary counts it automatically — rows up to 600 are covered.</t>
        </is>
      </c>
    </row>
    <row r="32" ht="32" customHeight="1">
      <c r="A32" s="6" t="inlineStr">
        <is>
          <t>•</t>
        </is>
      </c>
      <c r="B32" s="7" t="inlineStr">
        <is>
          <t>Do not type on the Gate Summary tab, or over the formula columns: Also record in doc 22 on the Build Checklist, and What to re-run and Doc 22 Trigger on the Re-validation Log.</t>
        </is>
      </c>
    </row>
    <row r="33" ht="22" customHeight="1">
      <c r="A33" s="3" t="inlineStr">
        <is>
          <t>WHERE THIS COMES FROM</t>
        </is>
      </c>
    </row>
    <row r="34"/>
    <row r="35" ht="18" customHeight="1">
      <c r="B35" s="8" t="inlineStr">
        <is>
          <t>Document 25</t>
        </is>
      </c>
      <c r="C35" s="5" t="inlineStr">
        <is>
          <t>Validation Timing Guide — every gate, check and trigger on these tabs is taken from it.</t>
        </is>
      </c>
    </row>
    <row r="36" ht="18" customHeight="1">
      <c r="B36" s="8" t="inlineStr">
        <is>
          <t>Document 22</t>
        </is>
      </c>
      <c r="C36" s="5" t="inlineStr">
        <is>
          <t>Validation and QA Results — the formal record of the seventeen suite checks.</t>
        </is>
      </c>
    </row>
    <row r="37" ht="32" customHeight="1">
      <c r="B37" s="8" t="inlineStr">
        <is>
          <t>Document 21</t>
        </is>
      </c>
      <c r="C37" s="5" t="inlineStr">
        <is>
          <t>Development Checklist — the build tasks. Its phases map to the gates: G0 = Phases 0–1, G1 = 2, G2 = 3, G3 = 4, G4 = 5, G5 = 6, G6 = 7, G7 and G8 = 8, G9 = 9.</t>
        </is>
      </c>
    </row>
    <row r="38" ht="30" customHeight="1">
      <c r="B38" s="8" t="inlineStr">
        <is>
          <t>docs/validation/</t>
        </is>
      </c>
      <c r="C38" s="5" t="inlineStr">
        <is>
          <t>One step-by-step procedure per suite check, V01 to V17, in .docx and .xlsx. The Procedure column on the Build Checklist names the one that covers each row.</t>
        </is>
      </c>
    </row>
  </sheetData>
  <mergeCells count="19">
    <mergeCell ref="B16:C16"/>
    <mergeCell ref="B25:C25"/>
    <mergeCell ref="B31:C31"/>
    <mergeCell ref="B27:C27"/>
    <mergeCell ref="A2:C2"/>
    <mergeCell ref="B12:C12"/>
    <mergeCell ref="A33:C33"/>
    <mergeCell ref="A23:C23"/>
    <mergeCell ref="A17:C17"/>
    <mergeCell ref="B14:C14"/>
    <mergeCell ref="A4:C4"/>
    <mergeCell ref="A10:C10"/>
    <mergeCell ref="B13:C13"/>
    <mergeCell ref="A28:C28"/>
    <mergeCell ref="B30:C30"/>
    <mergeCell ref="B15:C15"/>
    <mergeCell ref="A1:C1"/>
    <mergeCell ref="B32:C32"/>
    <mergeCell ref="B26:C26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</hyperlink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40" customWidth="1" min="3" max="3"/>
    <col width="9" customWidth="1" min="4" max="4"/>
    <col width="8" customWidth="1" min="5" max="5"/>
    <col width="8" customWidth="1" min="6" max="6"/>
    <col width="8" customWidth="1" min="7" max="7"/>
    <col width="9" customWidth="1" min="8" max="8"/>
    <col width="26" customWidth="1" min="9" max="9"/>
    <col width="9" customWidth="1" min="10" max="10"/>
  </cols>
  <sheetData>
    <row r="1" ht="24" customHeight="1">
      <c r="A1" s="9" t="inlineStr">
        <is>
          <t>Gate Summary — the initial build, gate by gate</t>
        </is>
      </c>
    </row>
    <row r="2" ht="32" customHeight="1">
      <c r="A2" s="10" t="inlineStr">
        <is>
          <t>Every figure here is a formula counting the Result column on the Build Checklist tab. Do not type on this tab. A gate is PASSED when all its rows are Pass or N/A; start the next gate only then.</t>
        </is>
      </c>
    </row>
    <row r="4" ht="24" customHeight="1">
      <c r="A4" s="11" t="inlineStr">
        <is>
          <t>Gate</t>
        </is>
      </c>
      <c r="B4" s="11" t="inlineStr">
        <is>
          <t>Name</t>
        </is>
      </c>
      <c r="C4" s="11" t="inlineStr">
        <is>
          <t>Run it</t>
        </is>
      </c>
      <c r="D4" s="12" t="inlineStr">
        <is>
          <t>Checks</t>
        </is>
      </c>
      <c r="E4" s="12" t="inlineStr">
        <is>
          <t>Pass</t>
        </is>
      </c>
      <c r="F4" s="12" t="inlineStr">
        <is>
          <t>Fail</t>
        </is>
      </c>
      <c r="G4" s="12" t="inlineStr">
        <is>
          <t>N/A</t>
        </is>
      </c>
      <c r="H4" s="12" t="inlineStr">
        <is>
          <t>Not yet</t>
        </is>
      </c>
      <c r="I4" s="12" t="inlineStr">
        <is>
          <t>Gate status</t>
        </is>
      </c>
      <c r="J4" s="12" t="inlineStr">
        <is>
          <t>Doc 25</t>
        </is>
      </c>
    </row>
    <row r="5" ht="20" customHeight="1">
      <c r="A5" s="13" t="inlineStr">
        <is>
          <t>G0</t>
        </is>
      </c>
      <c r="B5" s="14" t="inlineStr">
        <is>
          <t>Repository and environment</t>
        </is>
      </c>
      <c r="C5" s="15" t="inlineStr">
        <is>
          <t>Before any build step</t>
        </is>
      </c>
      <c r="D5" s="16">
        <f>COUNTIF('Build Checklist'!$A$5:$A$600,$A5)</f>
        <v/>
      </c>
      <c r="E5" s="16">
        <f>COUNTIFS('Build Checklist'!$A$5:$A$600,$A5,'Build Checklist'!$H$5:$H$600,"Pass")</f>
        <v/>
      </c>
      <c r="F5" s="17">
        <f>COUNTIFS('Build Checklist'!$A$5:$A$600,$A5,'Build Checklist'!$H$5:$H$600,"Fail")</f>
        <v/>
      </c>
      <c r="G5" s="16">
        <f>COUNTIFS('Build Checklist'!$A$5:$A$600,$A5,'Build Checklist'!$H$5:$H$600,"N/A")</f>
        <v/>
      </c>
      <c r="H5" s="16">
        <f>$D5-$E5-$F5-$G5</f>
        <v/>
      </c>
      <c r="I5" s="18">
        <f>IF($D5=0,"",IF($F5&gt;0,"BLOCKED",IF($H5=0,"PASSED","OPEN — "&amp;$H5&amp;" to go")))</f>
        <v/>
      </c>
      <c r="J5" s="19" t="inlineStr">
        <is>
          <t>§3.1</t>
        </is>
      </c>
    </row>
    <row r="6" ht="20" customHeight="1">
      <c r="A6" s="20" t="inlineStr">
        <is>
          <t>G1</t>
        </is>
      </c>
      <c r="B6" s="21" t="inlineStr">
        <is>
          <t>Warehouse</t>
        </is>
      </c>
      <c r="C6" s="22" t="inlineStr">
        <is>
          <t>After each SQL script, before the next</t>
        </is>
      </c>
      <c r="D6" s="23">
        <f>COUNTIF('Build Checklist'!$A$5:$A$600,$A6)</f>
        <v/>
      </c>
      <c r="E6" s="23">
        <f>COUNTIFS('Build Checklist'!$A$5:$A$600,$A6,'Build Checklist'!$H$5:$H$600,"Pass")</f>
        <v/>
      </c>
      <c r="F6" s="24">
        <f>COUNTIFS('Build Checklist'!$A$5:$A$600,$A6,'Build Checklist'!$H$5:$H$600,"Fail")</f>
        <v/>
      </c>
      <c r="G6" s="23">
        <f>COUNTIFS('Build Checklist'!$A$5:$A$600,$A6,'Build Checklist'!$H$5:$H$600,"N/A")</f>
        <v/>
      </c>
      <c r="H6" s="23">
        <f>$D6-$E6-$F6-$G6</f>
        <v/>
      </c>
      <c r="I6" s="25">
        <f>IF($D6=0,"",IF($F6&gt;0,"BLOCKED",IF($H6=0,"PASSED","OPEN — "&amp;$H6&amp;" to go")))</f>
        <v/>
      </c>
      <c r="J6" s="26" t="inlineStr">
        <is>
          <t>§3.2</t>
        </is>
      </c>
    </row>
    <row r="7" ht="20" customHeight="1">
      <c r="A7" s="13" t="inlineStr">
        <is>
          <t>G2</t>
        </is>
      </c>
      <c r="B7" s="14" t="inlineStr">
        <is>
          <t>Power Query sources</t>
        </is>
      </c>
      <c r="C7" s="15" t="inlineStr">
        <is>
          <t>After each source query</t>
        </is>
      </c>
      <c r="D7" s="16">
        <f>COUNTIF('Build Checklist'!$A$5:$A$600,$A7)</f>
        <v/>
      </c>
      <c r="E7" s="16">
        <f>COUNTIFS('Build Checklist'!$A$5:$A$600,$A7,'Build Checklist'!$H$5:$H$600,"Pass")</f>
        <v/>
      </c>
      <c r="F7" s="17">
        <f>COUNTIFS('Build Checklist'!$A$5:$A$600,$A7,'Build Checklist'!$H$5:$H$600,"Fail")</f>
        <v/>
      </c>
      <c r="G7" s="16">
        <f>COUNTIFS('Build Checklist'!$A$5:$A$600,$A7,'Build Checklist'!$H$5:$H$600,"N/A")</f>
        <v/>
      </c>
      <c r="H7" s="16">
        <f>$D7-$E7-$F7-$G7</f>
        <v/>
      </c>
      <c r="I7" s="18">
        <f>IF($D7=0,"",IF($F7&gt;0,"BLOCKED",IF($H7=0,"PASSED","OPEN — "&amp;$H7&amp;" to go")))</f>
        <v/>
      </c>
      <c r="J7" s="19" t="inlineStr">
        <is>
          <t>§3.3</t>
        </is>
      </c>
    </row>
    <row r="8" ht="20" customHeight="1">
      <c r="A8" s="20" t="inlineStr">
        <is>
          <t>G3</t>
        </is>
      </c>
      <c r="B8" s="21" t="inlineStr">
        <is>
          <t>Model structure</t>
        </is>
      </c>
      <c r="C8" s="22" t="inlineStr">
        <is>
          <t>After relationships and configuration, before any measure</t>
        </is>
      </c>
      <c r="D8" s="23">
        <f>COUNTIF('Build Checklist'!$A$5:$A$600,$A8)</f>
        <v/>
      </c>
      <c r="E8" s="23">
        <f>COUNTIFS('Build Checklist'!$A$5:$A$600,$A8,'Build Checklist'!$H$5:$H$600,"Pass")</f>
        <v/>
      </c>
      <c r="F8" s="24">
        <f>COUNTIFS('Build Checklist'!$A$5:$A$600,$A8,'Build Checklist'!$H$5:$H$600,"Fail")</f>
        <v/>
      </c>
      <c r="G8" s="23">
        <f>COUNTIFS('Build Checklist'!$A$5:$A$600,$A8,'Build Checklist'!$H$5:$H$600,"N/A")</f>
        <v/>
      </c>
      <c r="H8" s="23">
        <f>$D8-$E8-$F8-$G8</f>
        <v/>
      </c>
      <c r="I8" s="25">
        <f>IF($D8=0,"",IF($F8&gt;0,"BLOCKED",IF($H8=0,"PASSED","OPEN — "&amp;$H8&amp;" to go")))</f>
        <v/>
      </c>
      <c r="J8" s="26" t="inlineStr">
        <is>
          <t>§3.4</t>
        </is>
      </c>
    </row>
    <row r="9" ht="20" customHeight="1">
      <c r="A9" s="13" t="inlineStr">
        <is>
          <t>G4</t>
        </is>
      </c>
      <c r="B9" s="14" t="inlineStr">
        <is>
          <t>Measures</t>
        </is>
      </c>
      <c r="C9" s="15" t="inlineStr">
        <is>
          <t>As each measure folder closes</t>
        </is>
      </c>
      <c r="D9" s="16">
        <f>COUNTIF('Build Checklist'!$A$5:$A$600,$A9)</f>
        <v/>
      </c>
      <c r="E9" s="16">
        <f>COUNTIFS('Build Checklist'!$A$5:$A$600,$A9,'Build Checklist'!$H$5:$H$600,"Pass")</f>
        <v/>
      </c>
      <c r="F9" s="17">
        <f>COUNTIFS('Build Checklist'!$A$5:$A$600,$A9,'Build Checklist'!$H$5:$H$600,"Fail")</f>
        <v/>
      </c>
      <c r="G9" s="16">
        <f>COUNTIFS('Build Checklist'!$A$5:$A$600,$A9,'Build Checklist'!$H$5:$H$600,"N/A")</f>
        <v/>
      </c>
      <c r="H9" s="16">
        <f>$D9-$E9-$F9-$G9</f>
        <v/>
      </c>
      <c r="I9" s="18">
        <f>IF($D9=0,"",IF($F9&gt;0,"BLOCKED",IF($H9=0,"PASSED","OPEN — "&amp;$H9&amp;" to go")))</f>
        <v/>
      </c>
      <c r="J9" s="19" t="inlineStr">
        <is>
          <t>§3.5</t>
        </is>
      </c>
    </row>
    <row r="10" ht="20" customHeight="1">
      <c r="A10" s="20" t="inlineStr">
        <is>
          <t>G5</t>
        </is>
      </c>
      <c r="B10" s="27" t="inlineStr">
        <is>
          <t>MODEL PASS</t>
        </is>
      </c>
      <c r="C10" s="22" t="inlineStr">
        <is>
          <t>Before publishing the model</t>
        </is>
      </c>
      <c r="D10" s="23">
        <f>COUNTIF('Build Checklist'!$A$5:$A$600,$A10)</f>
        <v/>
      </c>
      <c r="E10" s="23">
        <f>COUNTIFS('Build Checklist'!$A$5:$A$600,$A10,'Build Checklist'!$H$5:$H$600,"Pass")</f>
        <v/>
      </c>
      <c r="F10" s="24">
        <f>COUNTIFS('Build Checklist'!$A$5:$A$600,$A10,'Build Checklist'!$H$5:$H$600,"Fail")</f>
        <v/>
      </c>
      <c r="G10" s="23">
        <f>COUNTIFS('Build Checklist'!$A$5:$A$600,$A10,'Build Checklist'!$H$5:$H$600,"N/A")</f>
        <v/>
      </c>
      <c r="H10" s="23">
        <f>$D10-$E10-$F10-$G10</f>
        <v/>
      </c>
      <c r="I10" s="25">
        <f>IF($D10=0,"",IF($F10&gt;0,"BLOCKED",IF($H10=0,"PASSED","OPEN — "&amp;$H10&amp;" to go")))</f>
        <v/>
      </c>
      <c r="J10" s="26" t="inlineStr">
        <is>
          <t>§3.6</t>
        </is>
      </c>
    </row>
    <row r="11" ht="20" customHeight="1">
      <c r="A11" s="13" t="inlineStr">
        <is>
          <t>G6</t>
        </is>
      </c>
      <c r="B11" s="14" t="inlineStr">
        <is>
          <t>Publish and bind</t>
        </is>
      </c>
      <c r="C11" s="15" t="inlineStr">
        <is>
          <t>After publishing the model</t>
        </is>
      </c>
      <c r="D11" s="16">
        <f>COUNTIF('Build Checklist'!$A$5:$A$600,$A11)</f>
        <v/>
      </c>
      <c r="E11" s="16">
        <f>COUNTIFS('Build Checklist'!$A$5:$A$600,$A11,'Build Checklist'!$H$5:$H$600,"Pass")</f>
        <v/>
      </c>
      <c r="F11" s="17">
        <f>COUNTIFS('Build Checklist'!$A$5:$A$600,$A11,'Build Checklist'!$H$5:$H$600,"Fail")</f>
        <v/>
      </c>
      <c r="G11" s="16">
        <f>COUNTIFS('Build Checklist'!$A$5:$A$600,$A11,'Build Checklist'!$H$5:$H$600,"N/A")</f>
        <v/>
      </c>
      <c r="H11" s="16">
        <f>$D11-$E11-$F11-$G11</f>
        <v/>
      </c>
      <c r="I11" s="18">
        <f>IF($D11=0,"",IF($F11&gt;0,"BLOCKED",IF($H11=0,"PASSED","OPEN — "&amp;$H11&amp;" to go")))</f>
        <v/>
      </c>
      <c r="J11" s="19" t="inlineStr">
        <is>
          <t>§3.7</t>
        </is>
      </c>
    </row>
    <row r="12" ht="20" customHeight="1">
      <c r="A12" s="20" t="inlineStr">
        <is>
          <t>G7</t>
        </is>
      </c>
      <c r="B12" s="21" t="inlineStr">
        <is>
          <t>Report build</t>
        </is>
      </c>
      <c r="C12" s="22" t="inlineStr">
        <is>
          <t>As each report page is finished</t>
        </is>
      </c>
      <c r="D12" s="23">
        <f>COUNTIF('Build Checklist'!$A$5:$A$600,$A12)</f>
        <v/>
      </c>
      <c r="E12" s="23">
        <f>COUNTIFS('Build Checklist'!$A$5:$A$600,$A12,'Build Checklist'!$H$5:$H$600,"Pass")</f>
        <v/>
      </c>
      <c r="F12" s="24">
        <f>COUNTIFS('Build Checklist'!$A$5:$A$600,$A12,'Build Checklist'!$H$5:$H$600,"Fail")</f>
        <v/>
      </c>
      <c r="G12" s="23">
        <f>COUNTIFS('Build Checklist'!$A$5:$A$600,$A12,'Build Checklist'!$H$5:$H$600,"N/A")</f>
        <v/>
      </c>
      <c r="H12" s="23">
        <f>$D12-$E12-$F12-$G12</f>
        <v/>
      </c>
      <c r="I12" s="25">
        <f>IF($D12=0,"",IF($F12&gt;0,"BLOCKED",IF($H12=0,"PASSED","OPEN — "&amp;$H12&amp;" to go")))</f>
        <v/>
      </c>
      <c r="J12" s="26" t="inlineStr">
        <is>
          <t>§3.8</t>
        </is>
      </c>
    </row>
    <row r="13" ht="20" customHeight="1">
      <c r="A13" s="13" t="inlineStr">
        <is>
          <t>G8</t>
        </is>
      </c>
      <c r="B13" s="28" t="inlineStr">
        <is>
          <t>REPORT PASS</t>
        </is>
      </c>
      <c r="C13" s="15" t="inlineStr">
        <is>
          <t>Before publishing each report</t>
        </is>
      </c>
      <c r="D13" s="16">
        <f>COUNTIF('Build Checklist'!$A$5:$A$600,$A13)</f>
        <v/>
      </c>
      <c r="E13" s="16">
        <f>COUNTIFS('Build Checklist'!$A$5:$A$600,$A13,'Build Checklist'!$H$5:$H$600,"Pass")</f>
        <v/>
      </c>
      <c r="F13" s="17">
        <f>COUNTIFS('Build Checklist'!$A$5:$A$600,$A13,'Build Checklist'!$H$5:$H$600,"Fail")</f>
        <v/>
      </c>
      <c r="G13" s="16">
        <f>COUNTIFS('Build Checklist'!$A$5:$A$600,$A13,'Build Checklist'!$H$5:$H$600,"N/A")</f>
        <v/>
      </c>
      <c r="H13" s="16">
        <f>$D13-$E13-$F13-$G13</f>
        <v/>
      </c>
      <c r="I13" s="18">
        <f>IF($D13=0,"",IF($F13&gt;0,"BLOCKED",IF($H13=0,"PASSED","OPEN — "&amp;$H13&amp;" to go")))</f>
        <v/>
      </c>
      <c r="J13" s="19" t="inlineStr">
        <is>
          <t>§3.9</t>
        </is>
      </c>
    </row>
    <row r="14" ht="20" customHeight="1">
      <c r="A14" s="20" t="inlineStr">
        <is>
          <t>G9</t>
        </is>
      </c>
      <c r="B14" s="21" t="inlineStr">
        <is>
          <t>Packaging</t>
        </is>
      </c>
      <c r="C14" s="22" t="inlineStr">
        <is>
          <t>Before the final push</t>
        </is>
      </c>
      <c r="D14" s="23">
        <f>COUNTIF('Build Checklist'!$A$5:$A$600,$A14)</f>
        <v/>
      </c>
      <c r="E14" s="23">
        <f>COUNTIFS('Build Checklist'!$A$5:$A$600,$A14,'Build Checklist'!$H$5:$H$600,"Pass")</f>
        <v/>
      </c>
      <c r="F14" s="24">
        <f>COUNTIFS('Build Checklist'!$A$5:$A$600,$A14,'Build Checklist'!$H$5:$H$600,"Fail")</f>
        <v/>
      </c>
      <c r="G14" s="23">
        <f>COUNTIFS('Build Checklist'!$A$5:$A$600,$A14,'Build Checklist'!$H$5:$H$600,"N/A")</f>
        <v/>
      </c>
      <c r="H14" s="23">
        <f>$D14-$E14-$F14-$G14</f>
        <v/>
      </c>
      <c r="I14" s="25">
        <f>IF($D14=0,"",IF($F14&gt;0,"BLOCKED",IF($H14=0,"PASSED","OPEN — "&amp;$H14&amp;" to go")))</f>
        <v/>
      </c>
      <c r="J14" s="26" t="inlineStr">
        <is>
          <t>§3.10</t>
        </is>
      </c>
    </row>
    <row r="15" ht="20" customHeight="1">
      <c r="A15" s="29" t="inlineStr">
        <is>
          <t>All</t>
        </is>
      </c>
      <c r="B15" s="30" t="inlineStr">
        <is>
          <t>Initial build</t>
        </is>
      </c>
      <c r="C15" s="31" t="inlineStr"/>
      <c r="D15" s="32">
        <f>SUM(D5:D14)</f>
        <v/>
      </c>
      <c r="E15" s="32">
        <f>SUM(E5:E14)</f>
        <v/>
      </c>
      <c r="F15" s="32">
        <f>SUM(F5:F14)</f>
        <v/>
      </c>
      <c r="G15" s="32">
        <f>SUM(G5:G14)</f>
        <v/>
      </c>
      <c r="H15" s="32">
        <f>SUM(H5:H14)</f>
        <v/>
      </c>
      <c r="I15" s="33">
        <f>IF($F15&gt;0,"BLOCKED — "&amp;$F15&amp;" failing",IF($H15=0,"COMPLETE",TEXT(($E15+$G15)/$D15,"0%")&amp;" done"))</f>
        <v/>
      </c>
      <c r="J15" s="31" t="inlineStr"/>
    </row>
  </sheetData>
  <mergeCells count="2">
    <mergeCell ref="A1:J1"/>
    <mergeCell ref="A2:J2"/>
  </mergeCells>
  <conditionalFormatting sqref="I5:I15">
    <cfRule type="expression" priority="1" dxfId="0">
      <formula>OR($I5="PASSED",$I5="COMPLETE")</formula>
    </cfRule>
    <cfRule type="expression" priority="2" dxfId="1">
      <formula>LEFT($I5,7)="BLOCKED"</formula>
    </cfRule>
    <cfRule type="expression" priority="3" dxfId="2">
      <formula>OR(LEFT($I5,4)="OPEN",RIGHT($I5,4)="done")</formula>
    </cfRule>
  </conditionalFormatting>
  <conditionalFormatting sqref="F5:F15">
    <cfRule type="cellIs" priority="4" operator="greaterThan" dxfId="3">
      <formula>0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0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46" customWidth="1" min="4" max="4"/>
    <col width="22" customWidth="1" min="5" max="5"/>
    <col width="9" customWidth="1" min="6" max="6"/>
    <col width="18" customWidth="1" min="7" max="7"/>
    <col width="10" customWidth="1" min="8" max="8"/>
    <col width="11" customWidth="1" min="9" max="9"/>
    <col width="11" customWidth="1" min="10" max="10"/>
    <col width="40" customWidth="1" min="11" max="11"/>
    <col width="22" customWidth="1" min="12" max="12"/>
  </cols>
  <sheetData>
    <row r="1" ht="24" customHeight="1">
      <c r="A1" s="9" t="inlineStr">
        <is>
          <t>Build Checklist — every check at every gate, in build order</t>
        </is>
      </c>
    </row>
    <row r="2" ht="32" customHeight="1">
      <c r="A2" s="10" t="inlineStr">
        <is>
          <t>The recording companion to document 25. Work down the gates in order and set Result on every row; the Gate Summary tab counts itself from this column. A row with a Suite number is also recorded in document 22 against the same check. A gate is PASSED when every row is Pass or N/A. The Procedure column names the step-by-step document for that check in docs/validation/ — one file per check, V01 to V17.</t>
        </is>
      </c>
    </row>
    <row r="3"/>
    <row r="4" ht="32" customHeight="1">
      <c r="A4" s="34" t="inlineStr">
        <is>
          <t>Gate</t>
        </is>
      </c>
      <c r="B4" s="34" t="inlineStr">
        <is>
          <t>Ref</t>
        </is>
      </c>
      <c r="C4" s="34" t="inlineStr">
        <is>
          <t>Check</t>
        </is>
      </c>
      <c r="D4" s="34" t="inlineStr">
        <is>
          <t>Pass when</t>
        </is>
      </c>
      <c r="E4" s="34" t="inlineStr">
        <is>
          <t>Where</t>
        </is>
      </c>
      <c r="F4" s="34" t="inlineStr">
        <is>
          <t>Suite #</t>
        </is>
      </c>
      <c r="G4" s="34" t="inlineStr">
        <is>
          <t>Also record in doc 22</t>
        </is>
      </c>
      <c r="H4" s="34" t="inlineStr">
        <is>
          <t>Result</t>
        </is>
      </c>
      <c r="I4" s="34" t="inlineStr">
        <is>
          <t>Date</t>
        </is>
      </c>
      <c r="J4" s="34" t="inlineStr">
        <is>
          <t>Checked by</t>
        </is>
      </c>
      <c r="K4" s="34" t="inlineStr">
        <is>
          <t>Observed value / notes</t>
        </is>
      </c>
      <c r="L4" s="34" t="inlineStr">
        <is>
          <t>Procedure</t>
        </is>
      </c>
    </row>
    <row r="5" ht="20" customHeight="1">
      <c r="A5" s="35" t="inlineStr">
        <is>
          <t>G0 — REPOSITORY AND ENVIRONMENT   ·   Before any build step   ·   doc 25 §3.1</t>
        </is>
      </c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7" t="n"/>
    </row>
    <row r="6" ht="30" customHeight="1">
      <c r="A6" s="38" t="inlineStr">
        <is>
          <t>G0</t>
        </is>
      </c>
      <c r="B6" s="39" t="inlineStr">
        <is>
          <t>G0.01</t>
        </is>
      </c>
      <c r="C6" s="28" t="inlineStr">
        <is>
          <t>.gitignore committed before the first file</t>
        </is>
      </c>
      <c r="D6" s="15" t="inlineStr">
        <is>
          <t>The first commit already contains .gitignore</t>
        </is>
      </c>
      <c r="E6" s="40" t="inlineStr">
        <is>
          <t>Doc 00 §4.3</t>
        </is>
      </c>
      <c r="F6" s="41" t="n"/>
      <c r="G6" s="42">
        <f>IF($F6="","",IF(ISNUMBER(SEARCH(",",$F6)),"Yes — checks ","Yes — check ")&amp;$F6)</f>
        <v/>
      </c>
      <c r="H6" s="17" t="inlineStr">
        <is>
          <t>Not run</t>
        </is>
      </c>
      <c r="I6" s="43" t="n"/>
      <c r="J6" s="16" t="n"/>
      <c r="K6" s="15" t="n"/>
    </row>
    <row r="7" ht="30" customHeight="1">
      <c r="A7" s="44" t="inlineStr">
        <is>
          <t>G0</t>
        </is>
      </c>
      <c r="B7" s="45" t="inlineStr">
        <is>
          <t>G0.02</t>
        </is>
      </c>
      <c r="C7" s="46" t="inlineStr">
        <is>
          <t>Clone in place</t>
        </is>
      </c>
      <c r="D7" s="22" t="inlineStr">
        <is>
          <t>git status runs from X:\retail-sector-health with a clean working tree</t>
        </is>
      </c>
      <c r="E7" s="47" t="inlineStr">
        <is>
          <t>Doc 00 §5</t>
        </is>
      </c>
      <c r="F7" s="48" t="n"/>
      <c r="G7" s="49">
        <f>IF($F7="","",IF(ISNUMBER(SEARCH(",",$F7)),"Yes — checks ","Yes — check ")&amp;$F7)</f>
        <v/>
      </c>
      <c r="H7" s="24" t="inlineStr">
        <is>
          <t>Not run</t>
        </is>
      </c>
      <c r="I7" s="50" t="n"/>
      <c r="J7" s="23" t="n"/>
      <c r="K7" s="22" t="n"/>
    </row>
    <row r="8" ht="30" customHeight="1">
      <c r="A8" s="38" t="inlineStr">
        <is>
          <t>G0</t>
        </is>
      </c>
      <c r="B8" s="39" t="inlineStr">
        <is>
          <t>G0.03</t>
        </is>
      </c>
      <c r="C8" s="28" t="inlineStr">
        <is>
          <t>Environment matches the verified build</t>
        </is>
      </c>
      <c r="D8" s="15" t="inlineStr">
        <is>
          <t>SSMS 22 connects to BRUNO\MSSQLSERVER01; versions match doc 02 Table 2.1</t>
        </is>
      </c>
      <c r="E8" s="40" t="inlineStr">
        <is>
          <t>Doc 02 §2.1</t>
        </is>
      </c>
      <c r="F8" s="41" t="n"/>
      <c r="G8" s="42">
        <f>IF($F8="","",IF(ISNUMBER(SEARCH(",",$F8)),"Yes — checks ","Yes — check ")&amp;$F8)</f>
        <v/>
      </c>
      <c r="H8" s="17" t="inlineStr">
        <is>
          <t>Not run</t>
        </is>
      </c>
      <c r="I8" s="43" t="n"/>
      <c r="J8" s="16" t="n"/>
      <c r="K8" s="15" t="n"/>
    </row>
    <row r="9" ht="20" customHeight="1">
      <c r="A9" s="35" t="inlineStr">
        <is>
          <t>G1 — WAREHOUSE   ·   After each SQL script, before the next   ·   doc 25 §3.2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7" t="n"/>
    </row>
    <row r="10" ht="30" customHeight="1">
      <c r="A10" s="38" t="inlineStr">
        <is>
          <t>G1</t>
        </is>
      </c>
      <c r="B10" s="39" t="inlineStr">
        <is>
          <t>G1.01</t>
        </is>
      </c>
      <c r="C10" s="28" t="inlineStr">
        <is>
          <t>sql/01 create database</t>
        </is>
      </c>
      <c r="D10" s="15" t="inlineStr">
        <is>
          <t>sys.schemas returns stg and dw</t>
        </is>
      </c>
      <c r="E10" s="40" t="inlineStr">
        <is>
          <t>sql/01 header</t>
        </is>
      </c>
      <c r="F10" s="41" t="n"/>
      <c r="G10" s="42">
        <f>IF($F10="","",IF(ISNUMBER(SEARCH(",",$F10)),"Yes — checks ","Yes — check ")&amp;$F10)</f>
        <v/>
      </c>
      <c r="H10" s="17" t="inlineStr">
        <is>
          <t>Not run</t>
        </is>
      </c>
      <c r="I10" s="43" t="n"/>
      <c r="J10" s="16" t="n"/>
      <c r="K10" s="15" t="n"/>
    </row>
    <row r="11" ht="30" customHeight="1">
      <c r="A11" s="44" t="inlineStr">
        <is>
          <t>G1</t>
        </is>
      </c>
      <c r="B11" s="45" t="inlineStr">
        <is>
          <t>G1.02</t>
        </is>
      </c>
      <c r="C11" s="46" t="inlineStr">
        <is>
          <t>sql/02 staging table</t>
        </is>
      </c>
      <c r="D11" s="22" t="inlineStr">
        <is>
          <t>Final SELECT returns approximately 330,080 rows</t>
        </is>
      </c>
      <c r="E11" s="47" t="inlineStr">
        <is>
          <t>sql/02 header</t>
        </is>
      </c>
      <c r="F11" s="48" t="n"/>
      <c r="G11" s="49">
        <f>IF($F11="","",IF(ISNUMBER(SEARCH(",",$F11)),"Yes — checks ","Yes — check ")&amp;$F11)</f>
        <v/>
      </c>
      <c r="H11" s="24" t="inlineStr">
        <is>
          <t>Not run</t>
        </is>
      </c>
      <c r="I11" s="50" t="n"/>
      <c r="J11" s="23" t="n"/>
      <c r="K11" s="22" t="n"/>
    </row>
    <row r="12" ht="30" customHeight="1">
      <c r="A12" s="38" t="inlineStr">
        <is>
          <t>G1</t>
        </is>
      </c>
      <c r="B12" s="39" t="inlineStr">
        <is>
          <t>G1.03</t>
        </is>
      </c>
      <c r="C12" s="28" t="inlineStr">
        <is>
          <t>sql/03 profiling queries</t>
        </is>
      </c>
      <c r="D12" s="15" t="inlineStr">
        <is>
          <t>Five result sets read and noted in doc 21</t>
        </is>
      </c>
      <c r="E12" s="40" t="inlineStr">
        <is>
          <t>sql/03 header; doc 02 §5.5</t>
        </is>
      </c>
      <c r="F12" s="41" t="n"/>
      <c r="G12" s="42">
        <f>IF($F12="","",IF(ISNUMBER(SEARCH(",",$F12)),"Yes — checks ","Yes — check ")&amp;$F12)</f>
        <v/>
      </c>
      <c r="H12" s="17" t="inlineStr">
        <is>
          <t>Not run</t>
        </is>
      </c>
      <c r="I12" s="43" t="n"/>
      <c r="J12" s="16" t="n"/>
      <c r="K12" s="15" t="n"/>
    </row>
    <row r="13" ht="30" customHeight="1">
      <c r="A13" s="44" t="inlineStr">
        <is>
          <t>G1</t>
        </is>
      </c>
      <c r="B13" s="45" t="inlineStr">
        <is>
          <t>G1.04</t>
        </is>
      </c>
      <c r="C13" s="46" t="inlineStr">
        <is>
          <t>sql/04 dimensions</t>
        </is>
      </c>
      <c r="D13" s="22" t="inlineStr">
        <is>
          <t>Each dimension has rows and no duplicate business key</t>
        </is>
      </c>
      <c r="E13" s="47" t="inlineStr">
        <is>
          <t>sql/04 header</t>
        </is>
      </c>
      <c r="F13" s="48" t="n"/>
      <c r="G13" s="49">
        <f>IF($F13="","",IF(ISNUMBER(SEARCH(",",$F13)),"Yes — checks ","Yes — check ")&amp;$F13)</f>
        <v/>
      </c>
      <c r="H13" s="24" t="inlineStr">
        <is>
          <t>Not run</t>
        </is>
      </c>
      <c r="I13" s="50" t="n"/>
      <c r="J13" s="23" t="n"/>
      <c r="K13" s="22" t="n"/>
    </row>
    <row r="14" ht="30" customHeight="1">
      <c r="A14" s="38" t="inlineStr">
        <is>
          <t>G1</t>
        </is>
      </c>
      <c r="B14" s="39" t="inlineStr">
        <is>
          <t>G1.05</t>
        </is>
      </c>
      <c r="C14" s="28" t="inlineStr">
        <is>
          <t>sql/05 fact and load procedure</t>
        </is>
      </c>
      <c r="D14" s="15" t="inlineStr">
        <is>
          <t>Staged-versus-loaded reconciliation shows no unexplained gap</t>
        </is>
      </c>
      <c r="E14" s="40" t="inlineStr">
        <is>
          <t>sql/05 header</t>
        </is>
      </c>
      <c r="F14" s="51" t="n">
        <v>1</v>
      </c>
      <c r="G14" s="42">
        <f>IF($F14="","",IF(ISNUMBER(SEARCH(",",$F14)),"Yes — checks ","Yes — check ")&amp;$F14)</f>
        <v/>
      </c>
      <c r="H14" s="17" t="inlineStr">
        <is>
          <t>Not run</t>
        </is>
      </c>
      <c r="I14" s="43" t="n"/>
      <c r="J14" s="16" t="n"/>
      <c r="K14" s="15" t="n"/>
      <c r="L14" s="59" t="inlineStr">
        <is>
          <t>V01</t>
        </is>
      </c>
    </row>
    <row r="15" ht="30" customHeight="1">
      <c r="A15" s="44" t="inlineStr">
        <is>
          <t>G1</t>
        </is>
      </c>
      <c r="B15" s="45" t="inlineStr">
        <is>
          <t>G1.06</t>
        </is>
      </c>
      <c r="C15" s="46" t="inlineStr">
        <is>
          <t>sql/06 item lifecycle</t>
        </is>
      </c>
      <c r="D15" s="22" t="inlineStr">
        <is>
          <t>No NULL lifecycle column for an item with movement; MAX(LastSeenDateKey) = MAX(DateKey)</t>
        </is>
      </c>
      <c r="E15" s="47" t="inlineStr">
        <is>
          <t>sql/06 header; doc 25 §3.2</t>
        </is>
      </c>
      <c r="F15" s="52" t="n">
        <v>12</v>
      </c>
      <c r="G15" s="49">
        <f>IF($F15="","",IF(ISNUMBER(SEARCH(",",$F15)),"Yes — checks ","Yes — check ")&amp;$F15)</f>
        <v/>
      </c>
      <c r="H15" s="24" t="inlineStr">
        <is>
          <t>Not run</t>
        </is>
      </c>
      <c r="I15" s="50" t="n"/>
      <c r="J15" s="23" t="n"/>
      <c r="K15" s="22" t="n"/>
      <c r="L15" s="60" t="inlineStr">
        <is>
          <t>V12</t>
        </is>
      </c>
    </row>
    <row r="16" ht="30" customHeight="1">
      <c r="A16" s="38" t="inlineStr">
        <is>
          <t>G1</t>
        </is>
      </c>
      <c r="B16" s="39" t="inlineStr">
        <is>
          <t>G1.07</t>
        </is>
      </c>
      <c r="C16" s="28" t="inlineStr">
        <is>
          <t>sql/07 indexes</t>
        </is>
      </c>
      <c r="D16" s="15" t="inlineStr">
        <is>
          <t>sys.indexes shows the columnstore index on dw.FactItemMovement</t>
        </is>
      </c>
      <c r="E16" s="40" t="inlineStr">
        <is>
          <t>sql/07 header</t>
        </is>
      </c>
      <c r="F16" s="41" t="n"/>
      <c r="G16" s="42">
        <f>IF($F16="","",IF(ISNUMBER(SEARCH(",",$F16)),"Yes — checks ","Yes — check ")&amp;$F16)</f>
        <v/>
      </c>
      <c r="H16" s="17" t="inlineStr">
        <is>
          <t>Not run</t>
        </is>
      </c>
      <c r="I16" s="43" t="n"/>
      <c r="J16" s="16" t="n"/>
      <c r="K16" s="15" t="n"/>
    </row>
    <row r="17" ht="30" customHeight="1">
      <c r="A17" s="44" t="inlineStr">
        <is>
          <t>G1</t>
        </is>
      </c>
      <c r="B17" s="45" t="inlineStr">
        <is>
          <t>G1.08</t>
        </is>
      </c>
      <c r="C17" s="46" t="inlineStr">
        <is>
          <t>sql/08 presentation views</t>
        </is>
      </c>
      <c r="D17" s="22" t="inlineStr">
        <is>
          <t>SELECT TOP 10 * FROM dw.vw_ItemMovement returns resolved attributes</t>
        </is>
      </c>
      <c r="E17" s="47" t="inlineStr">
        <is>
          <t>sql/08 header</t>
        </is>
      </c>
      <c r="F17" s="48" t="n"/>
      <c r="G17" s="49">
        <f>IF($F17="","",IF(ISNUMBER(SEARCH(",",$F17)),"Yes — checks ","Yes — check ")&amp;$F17)</f>
        <v/>
      </c>
      <c r="H17" s="24" t="inlineStr">
        <is>
          <t>Not run</t>
        </is>
      </c>
      <c r="I17" s="50" t="n"/>
      <c r="J17" s="23" t="n"/>
      <c r="K17" s="22" t="n"/>
    </row>
    <row r="18" ht="20" customHeight="1">
      <c r="A18" s="35" t="inlineStr">
        <is>
          <t>G2 — POWER QUERY SOURCES   ·   After each source query   ·   doc 25 §3.3</t>
        </is>
      </c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7" t="n"/>
    </row>
    <row r="19" ht="30" customHeight="1">
      <c r="A19" s="38" t="inlineStr">
        <is>
          <t>G2</t>
        </is>
      </c>
      <c r="B19" s="39" t="inlineStr">
        <is>
          <t>G2.01</t>
        </is>
      </c>
      <c r="C19" s="28" t="inlineStr">
        <is>
          <t>Discovery query, run once</t>
        </is>
      </c>
      <c r="D19" s="15" t="inlineStr">
        <is>
          <t>Returned codes reconcile with doc 02 Table 3.1; load then disabled</t>
        </is>
      </c>
      <c r="E19" s="40" t="inlineStr">
        <is>
          <t>Doc 02 §3.4</t>
        </is>
      </c>
      <c r="F19" s="41" t="n"/>
      <c r="G19" s="42">
        <f>IF($F19="","",IF(ISNUMBER(SEARCH(",",$F19)),"Yes — checks ","Yes — check ")&amp;$F19)</f>
        <v/>
      </c>
      <c r="H19" s="17" t="inlineStr">
        <is>
          <t>Not run</t>
        </is>
      </c>
      <c r="I19" s="43" t="n"/>
      <c r="J19" s="16" t="n"/>
      <c r="K19" s="15" t="n"/>
    </row>
    <row r="20" ht="30" customHeight="1">
      <c r="A20" s="44" t="inlineStr">
        <is>
          <t>G2</t>
        </is>
      </c>
      <c r="B20" s="45" t="inlineStr">
        <is>
          <t>G2.02</t>
        </is>
      </c>
      <c r="C20" s="46" t="inlineStr">
        <is>
          <t>FactSectorSales</t>
        </is>
      </c>
      <c r="D20" s="22" t="inlineStr">
        <is>
          <t>One row per month for 44X72 from pStartPeriod through the latest month Census has published, no gap</t>
        </is>
      </c>
      <c r="E20" s="47" t="inlineStr">
        <is>
          <t>Doc 02 §3.5</t>
        </is>
      </c>
      <c r="F20" s="52" t="n">
        <v>2</v>
      </c>
      <c r="G20" s="49">
        <f>IF($F20="","",IF(ISNUMBER(SEARCH(",",$F20)),"Yes — checks ","Yes — check ")&amp;$F20)</f>
        <v/>
      </c>
      <c r="H20" s="24" t="inlineStr">
        <is>
          <t>Not run</t>
        </is>
      </c>
      <c r="I20" s="50" t="n"/>
      <c r="J20" s="23" t="n"/>
      <c r="K20" s="22" t="n"/>
      <c r="L20" s="60" t="inlineStr">
        <is>
          <t>V02</t>
        </is>
      </c>
    </row>
    <row r="21" ht="30" customHeight="1">
      <c r="A21" s="38" t="inlineStr">
        <is>
          <t>G2</t>
        </is>
      </c>
      <c r="B21" s="39" t="inlineStr">
        <is>
          <t>G2.03</t>
        </is>
      </c>
      <c r="C21" s="28" t="inlineStr">
        <is>
          <t>FactMacro</t>
        </is>
      </c>
      <c r="D21" s="15" t="inlineStr">
        <is>
          <t>Nine SeriesId values, each with a monthly series</t>
        </is>
      </c>
      <c r="E21" s="40" t="inlineStr">
        <is>
          <t>Doc 02 §4.3</t>
        </is>
      </c>
      <c r="F21" s="41" t="n"/>
      <c r="G21" s="42">
        <f>IF($F21="","",IF(ISNUMBER(SEARCH(",",$F21)),"Yes — checks ","Yes — check ")&amp;$F21)</f>
        <v/>
      </c>
      <c r="H21" s="17" t="inlineStr">
        <is>
          <t>Not run</t>
        </is>
      </c>
      <c r="I21" s="43" t="n"/>
      <c r="J21" s="16" t="n"/>
      <c r="K21" s="15" t="n"/>
    </row>
    <row r="22" ht="30" customHeight="1">
      <c r="A22" s="44" t="inlineStr">
        <is>
          <t>G2</t>
        </is>
      </c>
      <c r="B22" s="45" t="inlineStr">
        <is>
          <t>G2.04</t>
        </is>
      </c>
      <c r="C22" s="46" t="inlineStr">
        <is>
          <t>DimCategory</t>
        </is>
      </c>
      <c r="D22" s="22" t="inlineStr">
        <is>
          <t>Referential coverage query returns zero rows</t>
        </is>
      </c>
      <c r="E22" s="47" t="inlineStr">
        <is>
          <t>Doc 02 §6.5</t>
        </is>
      </c>
      <c r="F22" s="52" t="n">
        <v>5</v>
      </c>
      <c r="G22" s="49">
        <f>IF($F22="","",IF(ISNUMBER(SEARCH(",",$F22)),"Yes — checks ","Yes — check ")&amp;$F22)</f>
        <v/>
      </c>
      <c r="H22" s="24" t="inlineStr">
        <is>
          <t>Not run</t>
        </is>
      </c>
      <c r="I22" s="50" t="n"/>
      <c r="J22" s="23" t="n"/>
      <c r="K22" s="22" t="n"/>
      <c r="L22" s="60" t="inlineStr">
        <is>
          <t>V05</t>
        </is>
      </c>
    </row>
    <row r="23" ht="30" customHeight="1">
      <c r="A23" s="38" t="inlineStr">
        <is>
          <t>G2</t>
        </is>
      </c>
      <c r="B23" s="39" t="inlineStr">
        <is>
          <t>G2.05</t>
        </is>
      </c>
      <c r="C23" s="28" t="inlineStr">
        <is>
          <t>DimItem merge</t>
        </is>
      </c>
      <c r="D23" s="15" t="inlineStr">
        <is>
          <t>No blank BeverageClass; unmatched types show as Unmapped</t>
        </is>
      </c>
      <c r="E23" s="40" t="inlineStr">
        <is>
          <t>Doc 02 §6.3</t>
        </is>
      </c>
      <c r="F23" s="41" t="n"/>
      <c r="G23" s="42">
        <f>IF($F23="","",IF(ISNUMBER(SEARCH(",",$F23)),"Yes — checks ","Yes — check ")&amp;$F23)</f>
        <v/>
      </c>
      <c r="H23" s="17" t="inlineStr">
        <is>
          <t>Not run</t>
        </is>
      </c>
      <c r="I23" s="43" t="n"/>
      <c r="J23" s="16" t="n"/>
      <c r="K23" s="15" t="n"/>
    </row>
    <row r="24" ht="30" customHeight="1">
      <c r="A24" s="44" t="inlineStr">
        <is>
          <t>G2</t>
        </is>
      </c>
      <c r="B24" s="45" t="inlineStr">
        <is>
          <t>G2.06</t>
        </is>
      </c>
      <c r="C24" s="46" t="inlineStr">
        <is>
          <t>Every query</t>
        </is>
      </c>
      <c r="D24" s="22" t="inlineStr">
        <is>
          <t>No key= literal; pCensusKey and pRefMappingsPath used only as parameters</t>
        </is>
      </c>
      <c r="E24" s="47" t="inlineStr">
        <is>
          <t>Doc 02 §3.1, §6.1</t>
        </is>
      </c>
      <c r="F24" s="48" t="n"/>
      <c r="G24" s="49">
        <f>IF($F24="","",IF(ISNUMBER(SEARCH(",",$F24)),"Yes — checks ","Yes — check ")&amp;$F24)</f>
        <v/>
      </c>
      <c r="H24" s="24" t="inlineStr">
        <is>
          <t>Not run</t>
        </is>
      </c>
      <c r="I24" s="50" t="n"/>
      <c r="J24" s="23" t="n"/>
      <c r="K24" s="22" t="n"/>
    </row>
    <row r="25" ht="20" customHeight="1">
      <c r="A25" s="35" t="inlineStr">
        <is>
          <t>G3 — MODEL STRUCTURE   ·   After relationships and configuration, before any measure   ·   doc 25 §3.4</t>
        </is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7" t="n"/>
    </row>
    <row r="26" ht="30" customHeight="1">
      <c r="A26" s="38" t="inlineStr">
        <is>
          <t>G3</t>
        </is>
      </c>
      <c r="B26" s="39" t="inlineStr">
        <is>
          <t>G3.01</t>
        </is>
      </c>
      <c r="C26" s="28" t="inlineStr">
        <is>
          <t>Auto-detected relationships removed</t>
        </is>
      </c>
      <c r="D26" s="15" t="inlineStr">
        <is>
          <t>Only the seven relationships of doc 02 §7.2 exist</t>
        </is>
      </c>
      <c r="E26" s="40" t="inlineStr">
        <is>
          <t>Doc 02 §7</t>
        </is>
      </c>
      <c r="F26" s="41" t="n"/>
      <c r="G26" s="42">
        <f>IF($F26="","",IF(ISNUMBER(SEARCH(",",$F26)),"Yes — checks ","Yes — check ")&amp;$F26)</f>
        <v/>
      </c>
      <c r="H26" s="17" t="inlineStr">
        <is>
          <t>Not run</t>
        </is>
      </c>
      <c r="I26" s="43" t="n"/>
      <c r="J26" s="16" t="n"/>
      <c r="K26" s="15" t="n"/>
    </row>
    <row r="27" ht="30" customHeight="1">
      <c r="A27" s="44" t="inlineStr">
        <is>
          <t>G3</t>
        </is>
      </c>
      <c r="B27" s="45" t="inlineStr">
        <is>
          <t>G3.02</t>
        </is>
      </c>
      <c r="C27" s="46" t="inlineStr">
        <is>
          <t>Model view against Figure 7.1</t>
        </is>
      </c>
      <c r="D27" s="22" t="inlineStr">
        <is>
          <t>Seven lines, all one-to-many, single-direction, on the right columns</t>
        </is>
      </c>
      <c r="E27" s="47" t="inlineStr">
        <is>
          <t>Doc 02 Figure 7.1</t>
        </is>
      </c>
      <c r="F27" s="48" t="n"/>
      <c r="G27" s="49">
        <f>IF($F27="","",IF(ISNUMBER(SEARCH(",",$F27)),"Yes — checks ","Yes — check ")&amp;$F27)</f>
        <v/>
      </c>
      <c r="H27" s="24" t="inlineStr">
        <is>
          <t>Not run</t>
        </is>
      </c>
      <c r="I27" s="50" t="n"/>
      <c r="J27" s="23" t="n"/>
      <c r="K27" s="22" t="n"/>
    </row>
    <row r="28" ht="30" customHeight="1">
      <c r="A28" s="38" t="inlineStr">
        <is>
          <t>G3</t>
        </is>
      </c>
      <c r="B28" s="39" t="inlineStr">
        <is>
          <t>G3.03</t>
        </is>
      </c>
      <c r="C28" s="28" t="inlineStr">
        <is>
          <t>Date relationship integrity</t>
        </is>
      </c>
      <c r="D28" s="15" t="inlineStr">
        <is>
          <t>No blank DimDate row — DAX query returns 0</t>
        </is>
      </c>
      <c r="E28" s="40" t="inlineStr">
        <is>
          <t>Doc 25 §3.4</t>
        </is>
      </c>
      <c r="F28" s="51" t="n">
        <v>6</v>
      </c>
      <c r="G28" s="42">
        <f>IF($F28="","",IF(ISNUMBER(SEARCH(",",$F28)),"Yes — checks ","Yes — check ")&amp;$F28)</f>
        <v/>
      </c>
      <c r="H28" s="17" t="inlineStr">
        <is>
          <t>Not run</t>
        </is>
      </c>
      <c r="I28" s="43" t="n"/>
      <c r="J28" s="16" t="n"/>
      <c r="K28" s="15" t="n"/>
      <c r="L28" s="59" t="inlineStr">
        <is>
          <t>V06</t>
        </is>
      </c>
    </row>
    <row r="29" ht="30" customHeight="1">
      <c r="A29" s="44" t="inlineStr">
        <is>
          <t>G3</t>
        </is>
      </c>
      <c r="B29" s="45" t="inlineStr">
        <is>
          <t>G3.04</t>
        </is>
      </c>
      <c r="C29" s="46" t="inlineStr">
        <is>
          <t>Model configuration</t>
        </is>
      </c>
      <c r="D29" s="22" t="inlineStr">
        <is>
          <t>Date table marked; sort-by columns set; keys hidden; Do Not Summarize</t>
        </is>
      </c>
      <c r="E29" s="47" t="inlineStr">
        <is>
          <t>Doc 02 §7.3</t>
        </is>
      </c>
      <c r="F29" s="48" t="n"/>
      <c r="G29" s="49">
        <f>IF($F29="","",IF(ISNUMBER(SEARCH(",",$F29)),"Yes — checks ","Yes — check ")&amp;$F29)</f>
        <v/>
      </c>
      <c r="H29" s="24" t="inlineStr">
        <is>
          <t>Not run</t>
        </is>
      </c>
      <c r="I29" s="50" t="n"/>
      <c r="J29" s="23" t="n"/>
      <c r="K29" s="22" t="n"/>
    </row>
    <row r="30" ht="20" customHeight="1">
      <c r="A30" s="35" t="inlineStr">
        <is>
          <t>G4 — MEASURES   ·   As each measure folder closes   ·   doc 25 §3.5</t>
        </is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7" t="n"/>
    </row>
    <row r="31" ht="30" customHeight="1">
      <c r="A31" s="38" t="inlineStr">
        <is>
          <t>G4</t>
        </is>
      </c>
      <c r="B31" s="39" t="inlineStr">
        <is>
          <t>G4.01</t>
        </is>
      </c>
      <c r="C31" s="28" t="inlineStr">
        <is>
          <t>Folder 01 Macro closes</t>
        </is>
      </c>
      <c r="D31" s="15" t="inlineStr">
        <is>
          <t>CPI Index for a known month matches FRED CPIAUCSL</t>
        </is>
      </c>
      <c r="E31" s="40" t="inlineStr">
        <is>
          <t>Doc 02 Table 8.2; doc 25 §3.5</t>
        </is>
      </c>
      <c r="F31" s="41" t="n"/>
      <c r="G31" s="42">
        <f>IF($F31="","",IF(ISNUMBER(SEARCH(",",$F31)),"Yes — checks ","Yes — check ")&amp;$F31)</f>
        <v/>
      </c>
      <c r="H31" s="17" t="inlineStr">
        <is>
          <t>Not run</t>
        </is>
      </c>
      <c r="I31" s="43" t="n"/>
      <c r="J31" s="16" t="n"/>
      <c r="K31" s="15" t="n"/>
    </row>
    <row r="32" ht="30" customHeight="1">
      <c r="A32" s="44" t="inlineStr">
        <is>
          <t>G4</t>
        </is>
      </c>
      <c r="B32" s="45" t="inlineStr">
        <is>
          <t>G4.02</t>
        </is>
      </c>
      <c r="C32" s="46" t="inlineStr">
        <is>
          <t>Folder 02 Sector closes</t>
        </is>
      </c>
      <c r="D32" s="22" t="inlineStr">
        <is>
          <t>Census 452 matches FRED MRTSSM452USS within rounding; category gaps recorded</t>
        </is>
      </c>
      <c r="E32" s="47" t="inlineStr">
        <is>
          <t>Doc 02 Table 8.2; doc 25 §3.5</t>
        </is>
      </c>
      <c r="F32" s="52" t="inlineStr">
        <is>
          <t>3, 4</t>
        </is>
      </c>
      <c r="G32" s="49">
        <f>IF($F32="","",IF(ISNUMBER(SEARCH(",",$F32)),"Yes — checks ","Yes — check ")&amp;$F32)</f>
        <v/>
      </c>
      <c r="H32" s="24" t="inlineStr">
        <is>
          <t>Not run</t>
        </is>
      </c>
      <c r="I32" s="50" t="n"/>
      <c r="J32" s="23" t="n"/>
      <c r="K32" s="22" t="n"/>
      <c r="L32" s="61" t="inlineStr">
        <is>
          <t>V03, V04</t>
        </is>
      </c>
    </row>
    <row r="33" ht="30" customHeight="1">
      <c r="A33" s="38" t="inlineStr">
        <is>
          <t>G4</t>
        </is>
      </c>
      <c r="B33" s="39" t="inlineStr">
        <is>
          <t>G4.03</t>
        </is>
      </c>
      <c r="C33" s="28" t="inlineStr">
        <is>
          <t>Folder 03 Micro closes</t>
        </is>
      </c>
      <c r="D33" s="15" t="inlineStr">
        <is>
          <t>Total Cases equals SUM(TotalMovement) in SQL; Return Rows non-zero</t>
        </is>
      </c>
      <c r="E33" s="40" t="inlineStr">
        <is>
          <t>Doc 02 Table 8.2; doc 25 §3.5</t>
        </is>
      </c>
      <c r="F33" s="51" t="n">
        <v>11</v>
      </c>
      <c r="G33" s="42">
        <f>IF($F33="","",IF(ISNUMBER(SEARCH(",",$F33)),"Yes — checks ","Yes — check ")&amp;$F33)</f>
        <v/>
      </c>
      <c r="H33" s="17" t="inlineStr">
        <is>
          <t>Not run</t>
        </is>
      </c>
      <c r="I33" s="43" t="n"/>
      <c r="J33" s="16" t="n"/>
      <c r="K33" s="15" t="n"/>
      <c r="L33" s="59" t="inlineStr">
        <is>
          <t>V11</t>
        </is>
      </c>
    </row>
    <row r="34" ht="30" customHeight="1">
      <c r="A34" s="44" t="inlineStr">
        <is>
          <t>G4</t>
        </is>
      </c>
      <c r="B34" s="45" t="inlineStr">
        <is>
          <t>G4.04</t>
        </is>
      </c>
      <c r="C34" s="46" t="inlineStr">
        <is>
          <t>Folder 04 Cross-Tier closes</t>
        </is>
      </c>
      <c r="D34" s="22" t="inlineStr">
        <is>
          <t>National Liquor Stores Real Sales moves with RRSFS</t>
        </is>
      </c>
      <c r="E34" s="47" t="inlineStr">
        <is>
          <t>Doc 02 Table 8.2</t>
        </is>
      </c>
      <c r="F34" s="48" t="n"/>
      <c r="G34" s="49">
        <f>IF($F34="","",IF(ISNUMBER(SEARCH(",",$F34)),"Yes — checks ","Yes — check ")&amp;$F34)</f>
        <v/>
      </c>
      <c r="H34" s="24" t="inlineStr">
        <is>
          <t>Not run</t>
        </is>
      </c>
      <c r="I34" s="50" t="n"/>
      <c r="J34" s="23" t="n"/>
      <c r="K34" s="22" t="n"/>
    </row>
    <row r="35" ht="70" customHeight="1">
      <c r="A35" s="38" t="inlineStr">
        <is>
          <t>G4</t>
        </is>
      </c>
      <c r="B35" s="39" t="inlineStr">
        <is>
          <t>G4.05</t>
        </is>
      </c>
      <c r="C35" s="28" t="inlineStr">
        <is>
          <t>Folder 05 Channel closes</t>
        </is>
      </c>
      <c r="D35" s="15" t="inlineStr">
        <is>
          <t>2019 baseline query returns no rows for any class, type and year; national series direction recorded</t>
        </is>
      </c>
      <c r="E35" s="40" t="inlineStr">
        <is>
          <t>Doc 02 Table 8.2; doc 25 §3.5</t>
        </is>
      </c>
      <c r="F35" s="51" t="inlineStr">
        <is>
          <t>9, 10</t>
        </is>
      </c>
      <c r="G35" s="42">
        <f>IF($F35="","",IF(ISNUMBER(SEARCH(",",$F35)),"Yes — checks ","Yes — check ")&amp;$F35)</f>
        <v/>
      </c>
      <c r="H35" s="17" t="inlineStr">
        <is>
          <t>Not run</t>
        </is>
      </c>
      <c r="I35" s="43" t="n"/>
      <c r="J35" s="16" t="n"/>
      <c r="K35" s="15" t="n"/>
      <c r="L35" s="62" t="inlineStr">
        <is>
          <t>V09, V10</t>
        </is>
      </c>
    </row>
    <row r="36" ht="30" customHeight="1">
      <c r="A36" s="44" t="inlineStr">
        <is>
          <t>G4</t>
        </is>
      </c>
      <c r="B36" s="45" t="inlineStr">
        <is>
          <t>G4.06</t>
        </is>
      </c>
      <c r="C36" s="46" t="inlineStr">
        <is>
          <t>Folder 06 Elasticity closes</t>
        </is>
      </c>
      <c r="D36" s="22" t="inlineStr">
        <is>
          <t>Observation Count non-zero and plausible</t>
        </is>
      </c>
      <c r="E36" s="47" t="inlineStr">
        <is>
          <t>Doc 02 Table 8.2; doc 25 §3.5</t>
        </is>
      </c>
      <c r="F36" s="48" t="n"/>
      <c r="G36" s="49">
        <f>IF($F36="","",IF(ISNUMBER(SEARCH(",",$F36)),"Yes — checks ","Yes — check ")&amp;$F36)</f>
        <v/>
      </c>
      <c r="H36" s="24" t="inlineStr">
        <is>
          <t>Not run</t>
        </is>
      </c>
      <c r="I36" s="50" t="n"/>
      <c r="J36" s="23" t="n"/>
      <c r="K36" s="22" t="n"/>
    </row>
    <row r="37" ht="30" customHeight="1">
      <c r="A37" s="38" t="inlineStr">
        <is>
          <t>G4</t>
        </is>
      </c>
      <c r="B37" s="39" t="inlineStr">
        <is>
          <t>G4.07</t>
        </is>
      </c>
      <c r="C37" s="28" t="inlineStr">
        <is>
          <t>Folder 07 Rotation closes</t>
        </is>
      </c>
      <c r="D37" s="15" t="inlineStr">
        <is>
          <t>Rate Sensitivity Beta negative for 441, 442 and 444</t>
        </is>
      </c>
      <c r="E37" s="40" t="inlineStr">
        <is>
          <t>Doc 02 Table 8.2; doc 25 §3.5</t>
        </is>
      </c>
      <c r="F37" s="41" t="n"/>
      <c r="G37" s="42">
        <f>IF($F37="","",IF(ISNUMBER(SEARCH(",",$F37)),"Yes — checks ","Yes — check ")&amp;$F37)</f>
        <v/>
      </c>
      <c r="H37" s="17" t="inlineStr">
        <is>
          <t>Not run</t>
        </is>
      </c>
      <c r="I37" s="43" t="n"/>
      <c r="J37" s="16" t="n"/>
      <c r="K37" s="15" t="n"/>
    </row>
    <row r="38" ht="70" customHeight="1">
      <c r="A38" s="44" t="inlineStr">
        <is>
          <t>G4</t>
        </is>
      </c>
      <c r="B38" s="45" t="inlineStr">
        <is>
          <t>G4.08</t>
        </is>
      </c>
      <c r="C38" s="46" t="inlineStr">
        <is>
          <t>Folder 08 Assortment closes</t>
        </is>
      </c>
      <c r="D38" s="22" t="inlineStr">
        <is>
          <t>Cohort Size by year sums to the DimItem row count; Cumulative Cases % is exactly 1 at the lowest rank</t>
        </is>
      </c>
      <c r="E38" s="47" t="inlineStr">
        <is>
          <t>Doc 02 Table 8.2; doc 25 §3.5</t>
        </is>
      </c>
      <c r="F38" s="52" t="inlineStr">
        <is>
          <t>13, 14</t>
        </is>
      </c>
      <c r="G38" s="49">
        <f>IF($F38="","",IF(ISNUMBER(SEARCH(",",$F38)),"Yes — checks ","Yes — check ")&amp;$F38)</f>
        <v/>
      </c>
      <c r="H38" s="24" t="inlineStr">
        <is>
          <t>Not run</t>
        </is>
      </c>
      <c r="I38" s="50" t="n"/>
      <c r="J38" s="23" t="n"/>
      <c r="K38" s="22" t="n"/>
      <c r="L38" s="61" t="inlineStr">
        <is>
          <t>V13, V14</t>
        </is>
      </c>
    </row>
    <row r="39" ht="30" customHeight="1">
      <c r="A39" s="38" t="inlineStr">
        <is>
          <t>G4</t>
        </is>
      </c>
      <c r="B39" s="39" t="inlineStr">
        <is>
          <t>G4.09</t>
        </is>
      </c>
      <c r="C39" s="28" t="inlineStr">
        <is>
          <t>Folder 09 Supplier closes</t>
        </is>
      </c>
      <c r="D39" s="15" t="inlineStr">
        <is>
          <t>Supplier HHI between 0 and 10,000</t>
        </is>
      </c>
      <c r="E39" s="40" t="inlineStr">
        <is>
          <t>Doc 02 Table 8.2; doc 25 §3.5</t>
        </is>
      </c>
      <c r="F39" s="41" t="n"/>
      <c r="G39" s="42">
        <f>IF($F39="","",IF(ISNUMBER(SEARCH(",",$F39)),"Yes — checks ","Yes — check ")&amp;$F39)</f>
        <v/>
      </c>
      <c r="H39" s="17" t="inlineStr">
        <is>
          <t>Not run</t>
        </is>
      </c>
      <c r="I39" s="43" t="n"/>
      <c r="J39" s="16" t="n"/>
      <c r="K39" s="15" t="n"/>
    </row>
    <row r="40" ht="30" customHeight="1">
      <c r="A40" s="44" t="inlineStr">
        <is>
          <t>G4</t>
        </is>
      </c>
      <c r="B40" s="45" t="inlineStr">
        <is>
          <t>G4.10</t>
        </is>
      </c>
      <c r="C40" s="46" t="inlineStr">
        <is>
          <t>Folder 10 Seasonality closes</t>
        </is>
      </c>
      <c r="D40" s="22" t="inlineStr">
        <is>
          <t>The twelve seasonal factors average approximately 1.00</t>
        </is>
      </c>
      <c r="E40" s="47" t="inlineStr">
        <is>
          <t>Doc 02 Table 8.2; doc 25 §3.5</t>
        </is>
      </c>
      <c r="F40" s="48" t="n"/>
      <c r="G40" s="49">
        <f>IF($F40="","",IF(ISNUMBER(SEARCH(",",$F40)),"Yes — checks ","Yes — check ")&amp;$F40)</f>
        <v/>
      </c>
      <c r="H40" s="24" t="inlineStr">
        <is>
          <t>Not run</t>
        </is>
      </c>
      <c r="I40" s="50" t="n"/>
      <c r="J40" s="23" t="n"/>
      <c r="K40" s="22" t="n"/>
    </row>
    <row r="41" ht="20" customHeight="1">
      <c r="A41" s="35" t="inlineStr">
        <is>
          <t>G5 — MODEL PASS   ·   Before publishing the model   ·   doc 25 §3.6</t>
        </is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7" t="n"/>
    </row>
    <row r="42" ht="30" customHeight="1">
      <c r="A42" s="38" t="inlineStr">
        <is>
          <t>G5</t>
        </is>
      </c>
      <c r="B42" s="39" t="inlineStr">
        <is>
          <t>G5.01</t>
        </is>
      </c>
      <c r="C42" s="28" t="inlineStr">
        <is>
          <t>Check 1 — final run on the finished model</t>
        </is>
      </c>
      <c r="D42" s="15" t="inlineStr">
        <is>
          <t>Staged versus loaded: zero difference or every dropped row explained</t>
        </is>
      </c>
      <c r="E42" s="40" t="inlineStr">
        <is>
          <t>Doc 02 §9; doc 22 Check Catalog</t>
        </is>
      </c>
      <c r="F42" s="51" t="n">
        <v>1</v>
      </c>
      <c r="G42" s="42">
        <f>IF($F42="","",IF(ISNUMBER(SEARCH(",",$F42)),"Yes — checks ","Yes — check ")&amp;$F42)</f>
        <v/>
      </c>
      <c r="H42" s="17" t="inlineStr">
        <is>
          <t>Not run</t>
        </is>
      </c>
      <c r="I42" s="43" t="n"/>
      <c r="J42" s="16" t="n"/>
      <c r="K42" s="15" t="n"/>
      <c r="L42" s="59" t="inlineStr">
        <is>
          <t>V01</t>
        </is>
      </c>
    </row>
    <row r="43" ht="30" customHeight="1">
      <c r="A43" s="44" t="inlineStr">
        <is>
          <t>G5</t>
        </is>
      </c>
      <c r="B43" s="45" t="inlineStr">
        <is>
          <t>G5.02</t>
        </is>
      </c>
      <c r="C43" s="46" t="inlineStr">
        <is>
          <t>Check 2 — final run on the finished model</t>
        </is>
      </c>
      <c r="D43" s="22" t="inlineStr">
        <is>
          <t>No gap in the 44X72 monthly sequence</t>
        </is>
      </c>
      <c r="E43" s="47" t="inlineStr">
        <is>
          <t>Doc 02 §9; doc 22 Check Catalog</t>
        </is>
      </c>
      <c r="F43" s="52" t="n">
        <v>2</v>
      </c>
      <c r="G43" s="49">
        <f>IF($F43="","",IF(ISNUMBER(SEARCH(",",$F43)),"Yes — checks ","Yes — check ")&amp;$F43)</f>
        <v/>
      </c>
      <c r="H43" s="24" t="inlineStr">
        <is>
          <t>Not run</t>
        </is>
      </c>
      <c r="I43" s="50" t="n"/>
      <c r="J43" s="23" t="n"/>
      <c r="K43" s="22" t="n"/>
      <c r="L43" s="60" t="inlineStr">
        <is>
          <t>V02</t>
        </is>
      </c>
    </row>
    <row r="44" ht="30" customHeight="1">
      <c r="A44" s="38" t="inlineStr">
        <is>
          <t>G5</t>
        </is>
      </c>
      <c r="B44" s="39" t="inlineStr">
        <is>
          <t>G5.03</t>
        </is>
      </c>
      <c r="C44" s="28" t="inlineStr">
        <is>
          <t>Check 3 — final run on the finished model</t>
        </is>
      </c>
      <c r="D44" s="15" t="inlineStr">
        <is>
          <t>Category gaps to 44X72 recorded with their reason</t>
        </is>
      </c>
      <c r="E44" s="40" t="inlineStr">
        <is>
          <t>Doc 02 §9; doc 22 Check Catalog</t>
        </is>
      </c>
      <c r="F44" s="51" t="n">
        <v>3</v>
      </c>
      <c r="G44" s="42">
        <f>IF($F44="","",IF(ISNUMBER(SEARCH(",",$F44)),"Yes — checks ","Yes — check ")&amp;$F44)</f>
        <v/>
      </c>
      <c r="H44" s="17" t="inlineStr">
        <is>
          <t>Not run</t>
        </is>
      </c>
      <c r="I44" s="43" t="n"/>
      <c r="J44" s="16" t="n"/>
      <c r="K44" s="15" t="n"/>
      <c r="L44" s="59" t="inlineStr">
        <is>
          <t>V03</t>
        </is>
      </c>
    </row>
    <row r="45" ht="30" customHeight="1">
      <c r="A45" s="44" t="inlineStr">
        <is>
          <t>G5</t>
        </is>
      </c>
      <c r="B45" s="45" t="inlineStr">
        <is>
          <t>G5.04</t>
        </is>
      </c>
      <c r="C45" s="46" t="inlineStr">
        <is>
          <t>Check 4 — final run on the finished model</t>
        </is>
      </c>
      <c r="D45" s="22" t="inlineStr">
        <is>
          <t>Census 452 within rounding of FRED MRTSSM452USS</t>
        </is>
      </c>
      <c r="E45" s="47" t="inlineStr">
        <is>
          <t>Doc 02 §9; doc 22 Check Catalog</t>
        </is>
      </c>
      <c r="F45" s="52" t="n">
        <v>4</v>
      </c>
      <c r="G45" s="49">
        <f>IF($F45="","",IF(ISNUMBER(SEARCH(",",$F45)),"Yes — checks ","Yes — check ")&amp;$F45)</f>
        <v/>
      </c>
      <c r="H45" s="24" t="inlineStr">
        <is>
          <t>Not run</t>
        </is>
      </c>
      <c r="I45" s="50" t="n"/>
      <c r="J45" s="23" t="n"/>
      <c r="K45" s="22" t="n"/>
      <c r="L45" s="60" t="inlineStr">
        <is>
          <t>V04</t>
        </is>
      </c>
    </row>
    <row r="46" ht="30" customHeight="1">
      <c r="A46" s="38" t="inlineStr">
        <is>
          <t>G5</t>
        </is>
      </c>
      <c r="B46" s="39" t="inlineStr">
        <is>
          <t>G5.05</t>
        </is>
      </c>
      <c r="C46" s="28" t="inlineStr">
        <is>
          <t>Check 5 — final run on the finished model</t>
        </is>
      </c>
      <c r="D46" s="15" t="inlineStr">
        <is>
          <t>Coverage query returns zero rows</t>
        </is>
      </c>
      <c r="E46" s="40" t="inlineStr">
        <is>
          <t>Doc 02 §9; doc 22 Check Catalog</t>
        </is>
      </c>
      <c r="F46" s="51" t="n">
        <v>5</v>
      </c>
      <c r="G46" s="42">
        <f>IF($F46="","",IF(ISNUMBER(SEARCH(",",$F46)),"Yes — checks ","Yes — check ")&amp;$F46)</f>
        <v/>
      </c>
      <c r="H46" s="17" t="inlineStr">
        <is>
          <t>Not run</t>
        </is>
      </c>
      <c r="I46" s="43" t="n"/>
      <c r="J46" s="16" t="n"/>
      <c r="K46" s="15" t="n"/>
      <c r="L46" s="59" t="inlineStr">
        <is>
          <t>V05</t>
        </is>
      </c>
    </row>
    <row r="47" ht="30" customHeight="1">
      <c r="A47" s="44" t="inlineStr">
        <is>
          <t>G5</t>
        </is>
      </c>
      <c r="B47" s="45" t="inlineStr">
        <is>
          <t>G5.06</t>
        </is>
      </c>
      <c r="C47" s="46" t="inlineStr">
        <is>
          <t>Check 6 — final run on the finished model</t>
        </is>
      </c>
      <c r="D47" s="22" t="inlineStr">
        <is>
          <t>No blank row in DimDate</t>
        </is>
      </c>
      <c r="E47" s="47" t="inlineStr">
        <is>
          <t>Doc 02 §9; doc 22 Check Catalog</t>
        </is>
      </c>
      <c r="F47" s="52" t="n">
        <v>6</v>
      </c>
      <c r="G47" s="49">
        <f>IF($F47="","",IF(ISNUMBER(SEARCH(",",$F47)),"Yes — checks ","Yes — check ")&amp;$F47)</f>
        <v/>
      </c>
      <c r="H47" s="24" t="inlineStr">
        <is>
          <t>Not run</t>
        </is>
      </c>
      <c r="I47" s="50" t="n"/>
      <c r="J47" s="23" t="n"/>
      <c r="K47" s="22" t="n"/>
      <c r="L47" s="60" t="inlineStr">
        <is>
          <t>V06</t>
        </is>
      </c>
    </row>
    <row r="48" ht="70" customHeight="1">
      <c r="A48" s="38" t="inlineStr">
        <is>
          <t>G5</t>
        </is>
      </c>
      <c r="B48" s="39" t="inlineStr">
        <is>
          <t>G5.07</t>
        </is>
      </c>
      <c r="C48" s="28" t="inlineStr">
        <is>
          <t>Check 9 — final run on the finished model</t>
        </is>
      </c>
      <c r="D48" s="15" t="inlineStr">
        <is>
          <t>2019 baselines return a value for every class, type and year (V09 Parts 1 and 3)</t>
        </is>
      </c>
      <c r="E48" s="40" t="inlineStr">
        <is>
          <t>Doc 02 §9; doc 22 Check Catalog</t>
        </is>
      </c>
      <c r="F48" s="51" t="n">
        <v>9</v>
      </c>
      <c r="G48" s="42">
        <f>IF($F48="","",IF(ISNUMBER(SEARCH(",",$F48)),"Yes — checks ","Yes — check ")&amp;$F48)</f>
        <v/>
      </c>
      <c r="H48" s="17" t="inlineStr">
        <is>
          <t>Not run</t>
        </is>
      </c>
      <c r="I48" s="43" t="n"/>
      <c r="J48" s="16" t="n"/>
      <c r="K48" s="15" t="n"/>
      <c r="L48" s="59" t="inlineStr">
        <is>
          <t>V09</t>
        </is>
      </c>
    </row>
    <row r="49" ht="30" customHeight="1">
      <c r="A49" s="44" t="inlineStr">
        <is>
          <t>G5</t>
        </is>
      </c>
      <c r="B49" s="45" t="inlineStr">
        <is>
          <t>G5.08</t>
        </is>
      </c>
      <c r="C49" s="46" t="inlineStr">
        <is>
          <t>Check 10 — final run on the finished model</t>
        </is>
      </c>
      <c r="D49" s="22" t="inlineStr">
        <is>
          <t>National series move with the local on-premise collapse; direction and months recorded</t>
        </is>
      </c>
      <c r="E49" s="47" t="inlineStr">
        <is>
          <t>Doc 02 §9; doc 22 Check Catalog</t>
        </is>
      </c>
      <c r="F49" s="52" t="n">
        <v>10</v>
      </c>
      <c r="G49" s="49">
        <f>IF($F49="","",IF(ISNUMBER(SEARCH(",",$F49)),"Yes — checks ","Yes — check ")&amp;$F49)</f>
        <v/>
      </c>
      <c r="H49" s="24" t="inlineStr">
        <is>
          <t>Not run</t>
        </is>
      </c>
      <c r="I49" s="50" t="n"/>
      <c r="J49" s="23" t="n"/>
      <c r="K49" s="22" t="n"/>
      <c r="L49" s="60" t="inlineStr">
        <is>
          <t>V10</t>
        </is>
      </c>
    </row>
    <row r="50" ht="30" customHeight="1">
      <c r="A50" s="38" t="inlineStr">
        <is>
          <t>G5</t>
        </is>
      </c>
      <c r="B50" s="39" t="inlineStr">
        <is>
          <t>G5.09</t>
        </is>
      </c>
      <c r="C50" s="28" t="inlineStr">
        <is>
          <t>Check 11 — final run on the finished model</t>
        </is>
      </c>
      <c r="D50" s="15" t="inlineStr">
        <is>
          <t>Return Rows non-zero</t>
        </is>
      </c>
      <c r="E50" s="40" t="inlineStr">
        <is>
          <t>Doc 02 §9; doc 22 Check Catalog</t>
        </is>
      </c>
      <c r="F50" s="51" t="n">
        <v>11</v>
      </c>
      <c r="G50" s="42">
        <f>IF($F50="","",IF(ISNUMBER(SEARCH(",",$F50)),"Yes — checks ","Yes — check ")&amp;$F50)</f>
        <v/>
      </c>
      <c r="H50" s="17" t="inlineStr">
        <is>
          <t>Not run</t>
        </is>
      </c>
      <c r="I50" s="43" t="n"/>
      <c r="J50" s="16" t="n"/>
      <c r="K50" s="15" t="n"/>
      <c r="L50" s="59" t="inlineStr">
        <is>
          <t>V11</t>
        </is>
      </c>
    </row>
    <row r="51" ht="30" customHeight="1">
      <c r="A51" s="44" t="inlineStr">
        <is>
          <t>G5</t>
        </is>
      </c>
      <c r="B51" s="45" t="inlineStr">
        <is>
          <t>G5.10</t>
        </is>
      </c>
      <c r="C51" s="46" t="inlineStr">
        <is>
          <t>Check 12 — final run on the finished model</t>
        </is>
      </c>
      <c r="D51" s="22" t="inlineStr">
        <is>
          <t>MAX(LastSeenDateKey) equals MAX(DateKey)</t>
        </is>
      </c>
      <c r="E51" s="47" t="inlineStr">
        <is>
          <t>Doc 02 §9; doc 22 Check Catalog</t>
        </is>
      </c>
      <c r="F51" s="52" t="n">
        <v>12</v>
      </c>
      <c r="G51" s="49">
        <f>IF($F51="","",IF(ISNUMBER(SEARCH(",",$F51)),"Yes — checks ","Yes — check ")&amp;$F51)</f>
        <v/>
      </c>
      <c r="H51" s="24" t="inlineStr">
        <is>
          <t>Not run</t>
        </is>
      </c>
      <c r="I51" s="50" t="n"/>
      <c r="J51" s="23" t="n"/>
      <c r="K51" s="22" t="n"/>
      <c r="L51" s="60" t="inlineStr">
        <is>
          <t>V12</t>
        </is>
      </c>
    </row>
    <row r="52" ht="70" customHeight="1">
      <c r="A52" s="38" t="inlineStr">
        <is>
          <t>G5</t>
        </is>
      </c>
      <c r="B52" s="39" t="inlineStr">
        <is>
          <t>G5.11</t>
        </is>
      </c>
      <c r="C52" s="28" t="inlineStr">
        <is>
          <t>Check 13 — final run on the finished model</t>
        </is>
      </c>
      <c r="D52" s="15" t="inlineStr">
        <is>
          <t>Cohort Size summed across CohortYear equals the DimItem row count</t>
        </is>
      </c>
      <c r="E52" s="40" t="inlineStr">
        <is>
          <t>Doc 02 §9; doc 22 Check Catalog</t>
        </is>
      </c>
      <c r="F52" s="51" t="n">
        <v>13</v>
      </c>
      <c r="G52" s="42">
        <f>IF($F52="","",IF(ISNUMBER(SEARCH(",",$F52)),"Yes — checks ","Yes — check ")&amp;$F52)</f>
        <v/>
      </c>
      <c r="H52" s="17" t="inlineStr">
        <is>
          <t>Not run</t>
        </is>
      </c>
      <c r="I52" s="43" t="n"/>
      <c r="J52" s="16" t="n"/>
      <c r="K52" s="15" t="n"/>
      <c r="L52" s="59" t="inlineStr">
        <is>
          <t>V13</t>
        </is>
      </c>
    </row>
    <row r="53" ht="70" customHeight="1">
      <c r="A53" s="44" t="inlineStr">
        <is>
          <t>G5</t>
        </is>
      </c>
      <c r="B53" s="45" t="inlineStr">
        <is>
          <t>G5.12</t>
        </is>
      </c>
      <c r="C53" s="46" t="inlineStr">
        <is>
          <t>Check 14 — final run on the finished model</t>
        </is>
      </c>
      <c r="D53" s="22" t="inlineStr">
        <is>
          <t>Cumulative Cases % is exactly 100% at the lowest rank, unfiltered and under each year and item type</t>
        </is>
      </c>
      <c r="E53" s="47" t="inlineStr">
        <is>
          <t>Doc 02 §9; doc 22 Check Catalog</t>
        </is>
      </c>
      <c r="F53" s="52" t="n">
        <v>14</v>
      </c>
      <c r="G53" s="49">
        <f>IF($F53="","",IF(ISNUMBER(SEARCH(",",$F53)),"Yes — checks ","Yes — check ")&amp;$F53)</f>
        <v/>
      </c>
      <c r="H53" s="24" t="inlineStr">
        <is>
          <t>Not run</t>
        </is>
      </c>
      <c r="I53" s="50" t="n"/>
      <c r="J53" s="23" t="n"/>
      <c r="K53" s="22" t="n"/>
      <c r="L53" s="60" t="inlineStr">
        <is>
          <t>V14</t>
        </is>
      </c>
    </row>
    <row r="54" ht="70" customHeight="1">
      <c r="A54" s="38" t="inlineStr">
        <is>
          <t>G5</t>
        </is>
      </c>
      <c r="B54" s="39" t="inlineStr">
        <is>
          <t>G5.13</t>
        </is>
      </c>
      <c r="C54" s="28" t="inlineStr">
        <is>
          <t>Doc 22 Run 1 Outcome</t>
        </is>
      </c>
      <c r="D54" s="15" t="inlineStr">
        <is>
          <t>Reads INCOMPLETE — 5 not recorded, with zero Blocking failures (an Advisory failure adds “· n Advisory failing”)</t>
        </is>
      </c>
      <c r="E54" s="40" t="inlineStr">
        <is>
          <t>Doc 22 Run Summary</t>
        </is>
      </c>
      <c r="F54" s="41" t="n"/>
      <c r="G54" s="42">
        <f>IF($F54="","",IF(ISNUMBER(SEARCH(",",$F54)),"Yes — checks ","Yes — check ")&amp;$F54)</f>
        <v/>
      </c>
      <c r="H54" s="17" t="inlineStr">
        <is>
          <t>Not run</t>
        </is>
      </c>
      <c r="I54" s="43" t="n"/>
      <c r="J54" s="16" t="n"/>
      <c r="K54" s="15" t="n"/>
    </row>
    <row r="55" ht="20" customHeight="1">
      <c r="A55" s="35" t="inlineStr">
        <is>
          <t>G6 — PUBLISH AND BIND   ·   After publishing the model   ·   doc 25 §3.7</t>
        </is>
      </c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7" t="n"/>
    </row>
    <row r="56" ht="70" customHeight="1">
      <c r="A56" s="38" t="inlineStr">
        <is>
          <t>G6</t>
        </is>
      </c>
      <c r="B56" s="39" t="inlineStr">
        <is>
          <t>G6.01</t>
        </is>
      </c>
      <c r="C56" s="28" t="inlineStr">
        <is>
          <t>First refresh in the Service</t>
        </is>
      </c>
      <c r="D56" s="15" t="inlineStr">
        <is>
          <t>All four sources refresh: SQL Server and RefMappings.xlsx through the gateway, FRED and Census without it</t>
        </is>
      </c>
      <c r="E56" s="40" t="inlineStr">
        <is>
          <t>Doc 02 §10</t>
        </is>
      </c>
      <c r="F56" s="41" t="n"/>
      <c r="G56" s="42">
        <f>IF($F56="","",IF(ISNUMBER(SEARCH(",",$F56)),"Yes — checks ","Yes — check ")&amp;$F56)</f>
        <v/>
      </c>
      <c r="H56" s="17" t="inlineStr">
        <is>
          <t>Not run</t>
        </is>
      </c>
      <c r="I56" s="43" t="n"/>
      <c r="J56" s="16" t="n"/>
      <c r="K56" s="15" t="n"/>
    </row>
    <row r="57" ht="30" customHeight="1">
      <c r="A57" s="44" t="inlineStr">
        <is>
          <t>G6</t>
        </is>
      </c>
      <c r="B57" s="45" t="inlineStr">
        <is>
          <t>G6.02</t>
        </is>
      </c>
      <c r="C57" s="46" t="inlineStr">
        <is>
          <t>Refresh schedule</t>
        </is>
      </c>
      <c r="D57" s="22" t="inlineStr">
        <is>
          <t>Set on the semantic model, twice weekly</t>
        </is>
      </c>
      <c r="E57" s="47" t="inlineStr">
        <is>
          <t>Doc 02 §10</t>
        </is>
      </c>
      <c r="F57" s="48" t="n"/>
      <c r="G57" s="49">
        <f>IF($F57="","",IF(ISNUMBER(SEARCH(",",$F57)),"Yes — checks ","Yes — check ")&amp;$F57)</f>
        <v/>
      </c>
      <c r="H57" s="24" t="inlineStr">
        <is>
          <t>Not run</t>
        </is>
      </c>
      <c r="I57" s="50" t="n"/>
      <c r="J57" s="23" t="n"/>
      <c r="K57" s="22" t="n"/>
    </row>
    <row r="58" ht="30" customHeight="1">
      <c r="A58" s="38" t="inlineStr">
        <is>
          <t>G6</t>
        </is>
      </c>
      <c r="B58" s="39" t="inlineStr">
        <is>
          <t>G6.03</t>
        </is>
      </c>
      <c r="C58" s="28" t="inlineStr">
        <is>
          <t>R1 file created</t>
        </is>
      </c>
      <c r="D58" s="15" t="inlineStr">
        <is>
          <t>Live-connection indicator shown; Fields pane read-only</t>
        </is>
      </c>
      <c r="E58" s="40" t="inlineStr">
        <is>
          <t>Doc 02 §10 step 8</t>
        </is>
      </c>
      <c r="F58" s="51" t="n">
        <v>17</v>
      </c>
      <c r="G58" s="42">
        <f>IF($F58="","",IF(ISNUMBER(SEARCH(",",$F58)),"Yes — checks ","Yes — check ")&amp;$F58)</f>
        <v/>
      </c>
      <c r="H58" s="17" t="inlineStr">
        <is>
          <t>Not run</t>
        </is>
      </c>
      <c r="I58" s="43" t="n"/>
      <c r="J58" s="16" t="n"/>
      <c r="K58" s="15" t="n"/>
      <c r="L58" s="59" t="inlineStr">
        <is>
          <t>V17</t>
        </is>
      </c>
    </row>
    <row r="59" ht="30" customHeight="1">
      <c r="A59" s="44" t="inlineStr">
        <is>
          <t>G6</t>
        </is>
      </c>
      <c r="B59" s="45" t="inlineStr">
        <is>
          <t>G6.04</t>
        </is>
      </c>
      <c r="C59" s="46" t="inlineStr">
        <is>
          <t>R2 file created</t>
        </is>
      </c>
      <c r="D59" s="22" t="inlineStr">
        <is>
          <t>Live-connection indicator shown; Fields pane read-only</t>
        </is>
      </c>
      <c r="E59" s="47" t="inlineStr">
        <is>
          <t>Doc 02 §10 step 8</t>
        </is>
      </c>
      <c r="F59" s="52" t="n">
        <v>17</v>
      </c>
      <c r="G59" s="49">
        <f>IF($F59="","",IF(ISNUMBER(SEARCH(",",$F59)),"Yes — checks ","Yes — check ")&amp;$F59)</f>
        <v/>
      </c>
      <c r="H59" s="24" t="inlineStr">
        <is>
          <t>Not run</t>
        </is>
      </c>
      <c r="I59" s="50" t="n"/>
      <c r="J59" s="23" t="n"/>
      <c r="K59" s="22" t="n"/>
      <c r="L59" s="60" t="inlineStr">
        <is>
          <t>V17</t>
        </is>
      </c>
    </row>
    <row r="60" ht="30" customHeight="1">
      <c r="A60" s="38" t="inlineStr">
        <is>
          <t>G6</t>
        </is>
      </c>
      <c r="B60" s="39" t="inlineStr">
        <is>
          <t>G6.05</t>
        </is>
      </c>
      <c r="C60" s="28" t="inlineStr">
        <is>
          <t>R3 file created</t>
        </is>
      </c>
      <c r="D60" s="15" t="inlineStr">
        <is>
          <t>Live-connection indicator shown; Fields pane read-only</t>
        </is>
      </c>
      <c r="E60" s="40" t="inlineStr">
        <is>
          <t>Doc 02 §10 step 8</t>
        </is>
      </c>
      <c r="F60" s="51" t="n">
        <v>17</v>
      </c>
      <c r="G60" s="42">
        <f>IF($F60="","",IF(ISNUMBER(SEARCH(",",$F60)),"Yes — checks ","Yes — check ")&amp;$F60)</f>
        <v/>
      </c>
      <c r="H60" s="17" t="inlineStr">
        <is>
          <t>Not run</t>
        </is>
      </c>
      <c r="I60" s="43" t="n"/>
      <c r="J60" s="16" t="n"/>
      <c r="K60" s="15" t="n"/>
      <c r="L60" s="59" t="inlineStr">
        <is>
          <t>V17</t>
        </is>
      </c>
    </row>
    <row r="61" ht="20" customHeight="1">
      <c r="A61" s="35" t="inlineStr">
        <is>
          <t>G7 — REPORT BUILD   ·   As each report page is finished   ·   doc 25 §3.8</t>
        </is>
      </c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7" t="n"/>
    </row>
    <row r="62" ht="30" customHeight="1">
      <c r="A62" s="38" t="inlineStr">
        <is>
          <t>G7</t>
        </is>
      </c>
      <c r="B62" s="39" t="inlineStr">
        <is>
          <t>G7.01</t>
        </is>
      </c>
      <c r="C62" s="28" t="inlineStr">
        <is>
          <t>R1 theme applied and verified</t>
        </is>
      </c>
      <c r="D62" s="15" t="inlineStr">
        <is>
          <t>Three theme checks pass before the first visual</t>
        </is>
      </c>
      <c r="E62" s="40" t="inlineStr">
        <is>
          <t>Doc 15 §3.3</t>
        </is>
      </c>
      <c r="F62" s="41" t="n"/>
      <c r="G62" s="42">
        <f>IF($F62="","",IF(ISNUMBER(SEARCH(",",$F62)),"Yes — checks ","Yes — check ")&amp;$F62)</f>
        <v/>
      </c>
      <c r="H62" s="17" t="inlineStr">
        <is>
          <t>Not run</t>
        </is>
      </c>
      <c r="I62" s="43" t="n"/>
      <c r="J62" s="16" t="n"/>
      <c r="K62" s="15" t="n"/>
    </row>
    <row r="63" ht="70" customHeight="1">
      <c r="A63" s="44" t="inlineStr">
        <is>
          <t>G7</t>
        </is>
      </c>
      <c r="B63" s="45" t="inlineStr">
        <is>
          <t>G7.02</t>
        </is>
      </c>
      <c r="C63" s="46" t="inlineStr">
        <is>
          <t>R1 Page 1 finished</t>
        </is>
      </c>
      <c r="D63" s="22" t="inlineStr">
        <is>
          <t>Multi-measure visuals 1.5, 1.6, 1.7 and narrative 1.8 checked</t>
        </is>
      </c>
      <c r="E63" s="47" t="inlineStr">
        <is>
          <t>Doc 25 Table 3.7</t>
        </is>
      </c>
      <c r="F63" s="52" t="inlineStr">
        <is>
          <t>7, 8</t>
        </is>
      </c>
      <c r="G63" s="49">
        <f>IF($F63="","",IF(ISNUMBER(SEARCH(",",$F63)),"Yes — checks ","Yes — check ")&amp;$F63)</f>
        <v/>
      </c>
      <c r="H63" s="24" t="inlineStr">
        <is>
          <t>Not run</t>
        </is>
      </c>
      <c r="I63" s="50" t="n"/>
      <c r="J63" s="23" t="n"/>
      <c r="K63" s="22" t="n"/>
      <c r="L63" s="60" t="inlineStr">
        <is>
          <t>V07, V08</t>
        </is>
      </c>
    </row>
    <row r="64" ht="30" customHeight="1">
      <c r="A64" s="38" t="inlineStr">
        <is>
          <t>G7</t>
        </is>
      </c>
      <c r="B64" s="39" t="inlineStr">
        <is>
          <t>G7.03</t>
        </is>
      </c>
      <c r="C64" s="28" t="inlineStr">
        <is>
          <t>R1 Page 2 finished</t>
        </is>
      </c>
      <c r="D64" s="15" t="inlineStr">
        <is>
          <t>Dollar series only — built to spec</t>
        </is>
      </c>
      <c r="E64" s="40" t="inlineStr">
        <is>
          <t>Doc 25 Table 3.7</t>
        </is>
      </c>
      <c r="F64" s="41" t="n"/>
      <c r="G64" s="42">
        <f>IF($F64="","",IF(ISNUMBER(SEARCH(",",$F64)),"Yes — checks ","Yes — check ")&amp;$F64)</f>
        <v/>
      </c>
      <c r="H64" s="17" t="inlineStr">
        <is>
          <t>Not run</t>
        </is>
      </c>
      <c r="I64" s="43" t="n"/>
      <c r="J64" s="16" t="n"/>
      <c r="K64" s="15" t="n"/>
    </row>
    <row r="65" ht="70" customHeight="1">
      <c r="A65" s="44" t="inlineStr">
        <is>
          <t>G7</t>
        </is>
      </c>
      <c r="B65" s="45" t="inlineStr">
        <is>
          <t>G7.04</t>
        </is>
      </c>
      <c r="C65" s="46" t="inlineStr">
        <is>
          <t>R1 Page 3 finished</t>
        </is>
      </c>
      <c r="D65" s="22" t="inlineStr">
        <is>
          <t>Multi-measure, case and difference visuals, baselines, Return Rows card and national-series narrative checked</t>
        </is>
      </c>
      <c r="E65" s="47" t="inlineStr">
        <is>
          <t>Doc 25 Table 3.7</t>
        </is>
      </c>
      <c r="F65" s="52" t="inlineStr">
        <is>
          <t>7, 8, 9, 10, 11</t>
        </is>
      </c>
      <c r="G65" s="49">
        <f>IF($F65="","",IF(ISNUMBER(SEARCH(",",$F65)),"Yes — checks ","Yes — check ")&amp;$F65)</f>
        <v/>
      </c>
      <c r="H65" s="24" t="inlineStr">
        <is>
          <t>Not run</t>
        </is>
      </c>
      <c r="I65" s="50" t="n"/>
      <c r="J65" s="23" t="n"/>
      <c r="K65" s="22" t="n"/>
      <c r="L65" s="61" t="inlineStr">
        <is>
          <t>V07, V08, V09, V10, V11</t>
        </is>
      </c>
    </row>
    <row r="66" ht="30" customHeight="1">
      <c r="A66" s="38" t="inlineStr">
        <is>
          <t>G7</t>
        </is>
      </c>
      <c r="B66" s="39" t="inlineStr">
        <is>
          <t>G7.05</t>
        </is>
      </c>
      <c r="C66" s="28" t="inlineStr">
        <is>
          <t>R2 theme applied and verified</t>
        </is>
      </c>
      <c r="D66" s="15" t="inlineStr">
        <is>
          <t>Three theme checks pass before the first visual</t>
        </is>
      </c>
      <c r="E66" s="40" t="inlineStr">
        <is>
          <t>Doc 15 §3.3</t>
        </is>
      </c>
      <c r="F66" s="41" t="n"/>
      <c r="G66" s="42">
        <f>IF($F66="","",IF(ISNUMBER(SEARCH(",",$F66)),"Yes — checks ","Yes — check ")&amp;$F66)</f>
        <v/>
      </c>
      <c r="H66" s="17" t="inlineStr">
        <is>
          <t>Not run</t>
        </is>
      </c>
      <c r="I66" s="43" t="n"/>
      <c r="J66" s="16" t="n"/>
      <c r="K66" s="15" t="n"/>
    </row>
    <row r="67" ht="30" customHeight="1">
      <c r="A67" s="44" t="inlineStr">
        <is>
          <t>G7</t>
        </is>
      </c>
      <c r="B67" s="45" t="inlineStr">
        <is>
          <t>G7.06</t>
        </is>
      </c>
      <c r="C67" s="46" t="inlineStr">
        <is>
          <t>R2 Page 1 finished</t>
        </is>
      </c>
      <c r="D67" s="22" t="inlineStr">
        <is>
          <t>Dual axis, case visuals, slopes with Observation Count checked</t>
        </is>
      </c>
      <c r="E67" s="47" t="inlineStr">
        <is>
          <t>Doc 25 Table 3.7</t>
        </is>
      </c>
      <c r="F67" s="52" t="inlineStr">
        <is>
          <t>7, 8, 15</t>
        </is>
      </c>
      <c r="G67" s="49">
        <f>IF($F67="","",IF(ISNUMBER(SEARCH(",",$F67)),"Yes — checks ","Yes — check ")&amp;$F67)</f>
        <v/>
      </c>
      <c r="H67" s="24" t="inlineStr">
        <is>
          <t>Not run</t>
        </is>
      </c>
      <c r="I67" s="50" t="n"/>
      <c r="J67" s="23" t="n"/>
      <c r="K67" s="22" t="n"/>
      <c r="L67" s="61" t="inlineStr">
        <is>
          <t>V07, V08, V15</t>
        </is>
      </c>
    </row>
    <row r="68" ht="70" customHeight="1">
      <c r="A68" s="38" t="inlineStr">
        <is>
          <t>G7</t>
        </is>
      </c>
      <c r="B68" s="39" t="inlineStr">
        <is>
          <t>G7.07</t>
        </is>
      </c>
      <c r="C68" s="28" t="inlineStr">
        <is>
          <t>R2 Page 2 finished</t>
        </is>
      </c>
      <c r="D68" s="15" t="inlineStr">
        <is>
          <t>Dual axis, case visuals, item-type 2019 baselines 5.3, 5.6, 5.8 checked</t>
        </is>
      </c>
      <c r="E68" s="40" t="inlineStr">
        <is>
          <t>Doc 25 Table 3.7</t>
        </is>
      </c>
      <c r="F68" s="51" t="inlineStr">
        <is>
          <t>7, 8, 9</t>
        </is>
      </c>
      <c r="G68" s="42">
        <f>IF($F68="","",IF(ISNUMBER(SEARCH(",",$F68)),"Yes — checks ","Yes — check ")&amp;$F68)</f>
        <v/>
      </c>
      <c r="H68" s="17" t="inlineStr">
        <is>
          <t>Not run</t>
        </is>
      </c>
      <c r="I68" s="43" t="n"/>
      <c r="J68" s="16" t="n"/>
      <c r="K68" s="15" t="n"/>
      <c r="L68" s="62" t="inlineStr">
        <is>
          <t>V07, V08, V09</t>
        </is>
      </c>
    </row>
    <row r="69" ht="70" customHeight="1">
      <c r="A69" s="44" t="inlineStr">
        <is>
          <t>G7</t>
        </is>
      </c>
      <c r="B69" s="45" t="inlineStr">
        <is>
          <t>G7.08</t>
        </is>
      </c>
      <c r="C69" s="46" t="inlineStr">
        <is>
          <t>R2 Page 3 finished</t>
        </is>
      </c>
      <c r="D69" s="22" t="inlineStr">
        <is>
          <t>Share Transfer 6.6 on one axis; slope visuals 6.8 and 6.9 carry Observation Count</t>
        </is>
      </c>
      <c r="E69" s="47" t="inlineStr">
        <is>
          <t>Doc 25 Table 3.7</t>
        </is>
      </c>
      <c r="F69" s="52" t="inlineStr">
        <is>
          <t>7, 15</t>
        </is>
      </c>
      <c r="G69" s="49">
        <f>IF($F69="","",IF(ISNUMBER(SEARCH(",",$F69)),"Yes — checks ","Yes — check ")&amp;$F69)</f>
        <v/>
      </c>
      <c r="H69" s="24" t="inlineStr">
        <is>
          <t>Not run</t>
        </is>
      </c>
      <c r="I69" s="50" t="n"/>
      <c r="J69" s="23" t="n"/>
      <c r="K69" s="22" t="n"/>
      <c r="L69" s="60" t="inlineStr">
        <is>
          <t>V07, V15</t>
        </is>
      </c>
    </row>
    <row r="70" ht="30" customHeight="1">
      <c r="A70" s="38" t="inlineStr">
        <is>
          <t>G7</t>
        </is>
      </c>
      <c r="B70" s="39" t="inlineStr">
        <is>
          <t>G7.09</t>
        </is>
      </c>
      <c r="C70" s="28" t="inlineStr">
        <is>
          <t>R3 theme applied and verified</t>
        </is>
      </c>
      <c r="D70" s="15" t="inlineStr">
        <is>
          <t>Three theme checks pass before the first visual</t>
        </is>
      </c>
      <c r="E70" s="40" t="inlineStr">
        <is>
          <t>Doc 15 §3.3</t>
        </is>
      </c>
      <c r="F70" s="41" t="n"/>
      <c r="G70" s="42">
        <f>IF($F70="","",IF(ISNUMBER(SEARCH(",",$F70)),"Yes — checks ","Yes — check ")&amp;$F70)</f>
        <v/>
      </c>
      <c r="H70" s="17" t="inlineStr">
        <is>
          <t>Not run</t>
        </is>
      </c>
      <c r="I70" s="43" t="n"/>
      <c r="J70" s="16" t="n"/>
      <c r="K70" s="15" t="n"/>
    </row>
    <row r="71" ht="70" customHeight="1">
      <c r="A71" s="44" t="inlineStr">
        <is>
          <t>G7</t>
        </is>
      </c>
      <c r="B71" s="45" t="inlineStr">
        <is>
          <t>G7.10</t>
        </is>
      </c>
      <c r="C71" s="46" t="inlineStr">
        <is>
          <t>R3 Page 1 finished</t>
        </is>
      </c>
      <c r="D71" s="22" t="inlineStr">
        <is>
          <t>Dual axis, case and item-count visuals, Pareto reaches exactly 100%</t>
        </is>
      </c>
      <c r="E71" s="47" t="inlineStr">
        <is>
          <t>Doc 25 Table 3.7</t>
        </is>
      </c>
      <c r="F71" s="52" t="inlineStr">
        <is>
          <t>7, 8, 14</t>
        </is>
      </c>
      <c r="G71" s="49">
        <f>IF($F71="","",IF(ISNUMBER(SEARCH(",",$F71)),"Yes — checks ","Yes — check ")&amp;$F71)</f>
        <v/>
      </c>
      <c r="H71" s="24" t="inlineStr">
        <is>
          <t>Not run</t>
        </is>
      </c>
      <c r="I71" s="50" t="n"/>
      <c r="J71" s="23" t="n"/>
      <c r="K71" s="22" t="n"/>
      <c r="L71" s="61" t="inlineStr">
        <is>
          <t>V07, V08, V14</t>
        </is>
      </c>
    </row>
    <row r="72" ht="70" customHeight="1">
      <c r="A72" s="38" t="inlineStr">
        <is>
          <t>G7</t>
        </is>
      </c>
      <c r="B72" s="39" t="inlineStr">
        <is>
          <t>G7.11</t>
        </is>
      </c>
      <c r="C72" s="28" t="inlineStr">
        <is>
          <t>R3 Page 2 finished</t>
        </is>
      </c>
      <c r="D72" s="15" t="inlineStr">
        <is>
          <t>2017 cohort excluded or labelled on every visual 8.2–8.8; 8.6 on one axis; no dollar measure</t>
        </is>
      </c>
      <c r="E72" s="40" t="inlineStr">
        <is>
          <t>Doc 25 Table 3.7</t>
        </is>
      </c>
      <c r="F72" s="51" t="inlineStr">
        <is>
          <t>7, 8, 16</t>
        </is>
      </c>
      <c r="G72" s="42">
        <f>IF($F72="","",IF(ISNUMBER(SEARCH(",",$F72)),"Yes — checks ","Yes — check ")&amp;$F72)</f>
        <v/>
      </c>
      <c r="H72" s="17" t="inlineStr">
        <is>
          <t>Not run</t>
        </is>
      </c>
      <c r="I72" s="43" t="n"/>
      <c r="J72" s="16" t="n"/>
      <c r="K72" s="15" t="n"/>
      <c r="L72" s="59" t="inlineStr">
        <is>
          <t>V07, V08, V16</t>
        </is>
      </c>
    </row>
    <row r="73" ht="70" customHeight="1">
      <c r="A73" s="44" t="inlineStr">
        <is>
          <t>G7</t>
        </is>
      </c>
      <c r="B73" s="45" t="inlineStr">
        <is>
          <t>G7.12</t>
        </is>
      </c>
      <c r="C73" s="46" t="inlineStr">
        <is>
          <t>R3 Page 3 finished</t>
        </is>
      </c>
      <c r="D73" s="22" t="inlineStr">
        <is>
          <t>Dual axis and case visuals 9.1–9.8 checked</t>
        </is>
      </c>
      <c r="E73" s="47" t="inlineStr">
        <is>
          <t>Doc 25 Table 3.7</t>
        </is>
      </c>
      <c r="F73" s="52" t="inlineStr">
        <is>
          <t>7, 8</t>
        </is>
      </c>
      <c r="G73" s="49">
        <f>IF($F73="","",IF(ISNUMBER(SEARCH(",",$F73)),"Yes — checks ","Yes — check ")&amp;$F73)</f>
        <v/>
      </c>
      <c r="H73" s="24" t="inlineStr">
        <is>
          <t>Not run</t>
        </is>
      </c>
      <c r="I73" s="50" t="n"/>
      <c r="J73" s="23" t="n"/>
      <c r="K73" s="22" t="n"/>
      <c r="L73" s="61" t="inlineStr">
        <is>
          <t>V07, V08</t>
        </is>
      </c>
    </row>
    <row r="74" ht="70" customHeight="1">
      <c r="A74" s="38" t="inlineStr">
        <is>
          <t>G7</t>
        </is>
      </c>
      <c r="B74" s="39" t="inlineStr">
        <is>
          <t>G7.13</t>
        </is>
      </c>
      <c r="C74" s="28" t="inlineStr">
        <is>
          <t>R3 Page 4 finished</t>
        </is>
      </c>
      <c r="D74" s="15" t="inlineStr">
        <is>
          <t>Adjusted vs Raw on one axis; case visuals 10.1–10.8 and method note checked</t>
        </is>
      </c>
      <c r="E74" s="40" t="inlineStr">
        <is>
          <t>Doc 25 Table 3.7</t>
        </is>
      </c>
      <c r="F74" s="51" t="inlineStr">
        <is>
          <t>7, 8</t>
        </is>
      </c>
      <c r="G74" s="42">
        <f>IF($F74="","",IF(ISNUMBER(SEARCH(",",$F74)),"Yes — checks ","Yes — check ")&amp;$F74)</f>
        <v/>
      </c>
      <c r="H74" s="17" t="inlineStr">
        <is>
          <t>Not run</t>
        </is>
      </c>
      <c r="I74" s="43" t="n"/>
      <c r="J74" s="16" t="n"/>
      <c r="K74" s="15" t="n"/>
      <c r="L74" s="59" t="inlineStr">
        <is>
          <t>V07, V08</t>
        </is>
      </c>
    </row>
    <row r="75" ht="29.5" customHeight="1">
      <c r="A75" s="38" t="inlineStr">
        <is>
          <t>G7</t>
        </is>
      </c>
      <c r="B75" s="39" t="inlineStr">
        <is>
          <t>G7.14</t>
        </is>
      </c>
      <c r="C75" s="28" t="inlineStr">
        <is>
          <t>Drillthrough page built</t>
        </is>
      </c>
      <c r="D75" s="15" t="inlineStr">
        <is>
          <t>Item Detail page carries cases only — no dollar measure</t>
        </is>
      </c>
      <c r="E75" s="40" t="inlineStr">
        <is>
          <t>Doc 15 §8.3</t>
        </is>
      </c>
      <c r="F75" s="51" t="n">
        <v>8</v>
      </c>
      <c r="G75" s="42">
        <f>IF($F75="","",IF(ISNUMBER(SEARCH(",",$F75)),"Yes — checks ","Yes — check ")&amp;$F75)</f>
        <v/>
      </c>
      <c r="H75" s="17" t="inlineStr">
        <is>
          <t>Not run</t>
        </is>
      </c>
      <c r="I75" s="43" t="n"/>
      <c r="J75" s="16" t="n"/>
      <c r="K75" s="15" t="n"/>
      <c r="L75" s="59" t="inlineStr">
        <is>
          <t>V08</t>
        </is>
      </c>
    </row>
    <row r="76" ht="29.5" customHeight="1">
      <c r="A76" s="38" t="inlineStr">
        <is>
          <t>G7</t>
        </is>
      </c>
      <c r="B76" s="39" t="inlineStr">
        <is>
          <t>G7.15</t>
        </is>
      </c>
      <c r="C76" s="28" t="inlineStr">
        <is>
          <t>Tooltip page built and assigned</t>
        </is>
      </c>
      <c r="D76" s="15" t="inlineStr">
        <is>
          <t>Tooltip page shows cases only and is used on no dollar visual</t>
        </is>
      </c>
      <c r="E76" s="40" t="inlineStr">
        <is>
          <t>Doc 15 §8.4</t>
        </is>
      </c>
      <c r="F76" s="51" t="n">
        <v>8</v>
      </c>
      <c r="G76" s="42">
        <f>IF($F76="","",IF(ISNUMBER(SEARCH(",",$F76)),"Yes — checks ","Yes — check ")&amp;$F76)</f>
        <v/>
      </c>
      <c r="H76" s="17" t="inlineStr">
        <is>
          <t>Not run</t>
        </is>
      </c>
      <c r="I76" s="43" t="n"/>
      <c r="J76" s="16" t="n"/>
      <c r="K76" s="15" t="n"/>
      <c r="L76" s="59" t="inlineStr">
        <is>
          <t>V08</t>
        </is>
      </c>
    </row>
    <row r="77" ht="43" customHeight="1">
      <c r="A77" s="38" t="inlineStr">
        <is>
          <t>G7</t>
        </is>
      </c>
      <c r="B77" s="39" t="inlineStr">
        <is>
          <t>G7.16</t>
        </is>
      </c>
      <c r="C77" s="28" t="inlineStr">
        <is>
          <t>Cross-report wiring</t>
        </is>
      </c>
      <c r="D77" s="15" t="inlineStr">
        <is>
          <t>Date slicer synced on every page, other slicers unsynced; Reset bookmark and button on every page; drillthrough from 3.6 opens Item Detail filtered</t>
        </is>
      </c>
      <c r="E77" s="40" t="inlineStr">
        <is>
          <t>Doc 15 §8</t>
        </is>
      </c>
      <c r="F77" s="51" t="n"/>
      <c r="G77" s="42">
        <f>IF($F77="","",IF(ISNUMBER(SEARCH(",",$F77)),"Yes — checks ","Yes — check ")&amp;$F77)</f>
        <v/>
      </c>
      <c r="H77" s="17" t="inlineStr">
        <is>
          <t>Not run</t>
        </is>
      </c>
      <c r="I77" s="43" t="n"/>
      <c r="J77" s="16" t="n"/>
      <c r="K77" s="15" t="n"/>
      <c r="L77" s="59" t="n"/>
    </row>
    <row r="78" ht="43" customHeight="1">
      <c r="A78" s="38" t="inlineStr">
        <is>
          <t>G7</t>
        </is>
      </c>
      <c r="B78" s="39" t="inlineStr">
        <is>
          <t>G7.17</t>
        </is>
      </c>
      <c r="C78" s="28" t="inlineStr">
        <is>
          <t>Accessibility pass</t>
        </is>
      </c>
      <c r="D78" s="15" t="inlineStr">
        <is>
          <t>Alt text, tab order, no meaning by colour alone, 4.5:1 text contrast, descriptive titles — on every page of each report</t>
        </is>
      </c>
      <c r="E78" s="40" t="inlineStr">
        <is>
          <t>Doc 15 §9</t>
        </is>
      </c>
      <c r="F78" s="51" t="n"/>
      <c r="G78" s="42">
        <f>IF($F78="","",IF(ISNUMBER(SEARCH(",",$F78)),"Yes — checks ","Yes — check ")&amp;$F78)</f>
        <v/>
      </c>
      <c r="H78" s="17" t="inlineStr">
        <is>
          <t>Not run</t>
        </is>
      </c>
      <c r="I78" s="43" t="n"/>
      <c r="J78" s="16" t="n"/>
      <c r="K78" s="15" t="n"/>
      <c r="L78" s="59" t="n"/>
    </row>
    <row r="79" ht="20" customHeight="1">
      <c r="A79" s="35" t="inlineStr">
        <is>
          <t>G8 — REPORT PASS   ·   Before publishing each report   ·   doc 25 §3.9</t>
        </is>
      </c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7" t="n"/>
    </row>
    <row r="80" ht="70" customHeight="1">
      <c r="A80" s="38" t="inlineStr">
        <is>
          <t>G8</t>
        </is>
      </c>
      <c r="B80" s="39" t="inlineStr">
        <is>
          <t>G8.01</t>
        </is>
      </c>
      <c r="C80" s="28" t="inlineStr">
        <is>
          <t>R1 report pass</t>
        </is>
      </c>
      <c r="D80" s="15" t="inlineStr">
        <is>
          <t>Checks 7, 8 and 17 recorded for R1 in doc 22 Reports covered; 9, 10 and 11 updated from Page 3</t>
        </is>
      </c>
      <c r="E80" s="40" t="inlineStr">
        <is>
          <t>Doc 15 §10</t>
        </is>
      </c>
      <c r="F80" s="51" t="inlineStr">
        <is>
          <t>7, 8, 9, 10, 11, 17</t>
        </is>
      </c>
      <c r="G80" s="42">
        <f>IF($F80="","",IF(ISNUMBER(SEARCH(",",$F80)),"Yes — checks ","Yes — check ")&amp;$F80)</f>
        <v/>
      </c>
      <c r="H80" s="17" t="inlineStr">
        <is>
          <t>Not run</t>
        </is>
      </c>
      <c r="I80" s="43" t="n"/>
      <c r="J80" s="16" t="n"/>
      <c r="K80" s="15" t="n"/>
      <c r="L80" s="62" t="inlineStr">
        <is>
          <t>V07, V08, V09, V10, V11, V17</t>
        </is>
      </c>
    </row>
    <row r="81" ht="30" customHeight="1">
      <c r="A81" s="44" t="inlineStr">
        <is>
          <t>G8</t>
        </is>
      </c>
      <c r="B81" s="45" t="inlineStr">
        <is>
          <t>G8.02</t>
        </is>
      </c>
      <c r="C81" s="46" t="inlineStr">
        <is>
          <t>R1 published</t>
        </is>
      </c>
      <c r="D81" s="22" t="inlineStr">
        <is>
          <t>Published only with zero Blocking failures</t>
        </is>
      </c>
      <c r="E81" s="47" t="inlineStr">
        <is>
          <t>Doc 15 §10</t>
        </is>
      </c>
      <c r="F81" s="48" t="n"/>
      <c r="G81" s="49">
        <f>IF($F81="","",IF(ISNUMBER(SEARCH(",",$F81)),"Yes — checks ","Yes — check ")&amp;$F81)</f>
        <v/>
      </c>
      <c r="H81" s="24" t="inlineStr">
        <is>
          <t>Not run</t>
        </is>
      </c>
      <c r="I81" s="50" t="n"/>
      <c r="J81" s="23" t="n"/>
      <c r="K81" s="22" t="n"/>
    </row>
    <row r="82" ht="70" customHeight="1">
      <c r="A82" s="38" t="inlineStr">
        <is>
          <t>G8</t>
        </is>
      </c>
      <c r="B82" s="39" t="inlineStr">
        <is>
          <t>G8.03</t>
        </is>
      </c>
      <c r="C82" s="28" t="inlineStr">
        <is>
          <t>R2 report pass</t>
        </is>
      </c>
      <c r="D82" s="15" t="inlineStr">
        <is>
          <t>Checks 7, 8, 15 and 17 recorded for R2 in Reports covered; 9 updated from Page 2</t>
        </is>
      </c>
      <c r="E82" s="40" t="inlineStr">
        <is>
          <t>Doc 15 §10</t>
        </is>
      </c>
      <c r="F82" s="51" t="inlineStr">
        <is>
          <t>7, 8, 9, 15, 17</t>
        </is>
      </c>
      <c r="G82" s="42">
        <f>IF($F82="","",IF(ISNUMBER(SEARCH(",",$F82)),"Yes — checks ","Yes — check ")&amp;$F82)</f>
        <v/>
      </c>
      <c r="H82" s="17" t="inlineStr">
        <is>
          <t>Not run</t>
        </is>
      </c>
      <c r="I82" s="43" t="n"/>
      <c r="J82" s="16" t="n"/>
      <c r="K82" s="15" t="n"/>
      <c r="L82" s="62" t="inlineStr">
        <is>
          <t>V07, V08, V09, V15, V17</t>
        </is>
      </c>
    </row>
    <row r="83" ht="30" customHeight="1">
      <c r="A83" s="44" t="inlineStr">
        <is>
          <t>G8</t>
        </is>
      </c>
      <c r="B83" s="45" t="inlineStr">
        <is>
          <t>G8.04</t>
        </is>
      </c>
      <c r="C83" s="46" t="inlineStr">
        <is>
          <t>R2 published</t>
        </is>
      </c>
      <c r="D83" s="22" t="inlineStr">
        <is>
          <t>Published only with zero Blocking failures</t>
        </is>
      </c>
      <c r="E83" s="47" t="inlineStr">
        <is>
          <t>Doc 15 §10</t>
        </is>
      </c>
      <c r="F83" s="48" t="n"/>
      <c r="G83" s="49">
        <f>IF($F83="","",IF(ISNUMBER(SEARCH(",",$F83)),"Yes — checks ","Yes — check ")&amp;$F83)</f>
        <v/>
      </c>
      <c r="H83" s="24" t="inlineStr">
        <is>
          <t>Not run</t>
        </is>
      </c>
      <c r="I83" s="50" t="n"/>
      <c r="J83" s="23" t="n"/>
      <c r="K83" s="22" t="n"/>
    </row>
    <row r="84" ht="70" customHeight="1">
      <c r="A84" s="38" t="inlineStr">
        <is>
          <t>G8</t>
        </is>
      </c>
      <c r="B84" s="39" t="inlineStr">
        <is>
          <t>G8.05</t>
        </is>
      </c>
      <c r="C84" s="28" t="inlineStr">
        <is>
          <t>R3 report pass</t>
        </is>
      </c>
      <c r="D84" s="15" t="inlineStr">
        <is>
          <t>Checks 7, 8, 16 and 17 recorded for R3 in Reports covered; 14 updated from Page 1</t>
        </is>
      </c>
      <c r="E84" s="40" t="inlineStr">
        <is>
          <t>Doc 15 §10</t>
        </is>
      </c>
      <c r="F84" s="51" t="inlineStr">
        <is>
          <t>7, 8, 14, 16, 17</t>
        </is>
      </c>
      <c r="G84" s="42">
        <f>IF($F84="","",IF(ISNUMBER(SEARCH(",",$F84)),"Yes — checks ","Yes — check ")&amp;$F84)</f>
        <v/>
      </c>
      <c r="H84" s="17" t="inlineStr">
        <is>
          <t>Not run</t>
        </is>
      </c>
      <c r="I84" s="43" t="n"/>
      <c r="J84" s="16" t="n"/>
      <c r="K84" s="15" t="n"/>
      <c r="L84" s="62" t="inlineStr">
        <is>
          <t>V07, V08, V14, V16, V17</t>
        </is>
      </c>
    </row>
    <row r="85" ht="30" customHeight="1">
      <c r="A85" s="44" t="inlineStr">
        <is>
          <t>G8</t>
        </is>
      </c>
      <c r="B85" s="45" t="inlineStr">
        <is>
          <t>G8.06</t>
        </is>
      </c>
      <c r="C85" s="46" t="inlineStr">
        <is>
          <t>R3 published</t>
        </is>
      </c>
      <c r="D85" s="22" t="inlineStr">
        <is>
          <t>Published only with zero Blocking failures</t>
        </is>
      </c>
      <c r="E85" s="47" t="inlineStr">
        <is>
          <t>Doc 15 §10</t>
        </is>
      </c>
      <c r="F85" s="48" t="n"/>
      <c r="G85" s="49">
        <f>IF($F85="","",IF(ISNUMBER(SEARCH(",",$F85)),"Yes — checks ","Yes — check ")&amp;$F85)</f>
        <v/>
      </c>
      <c r="H85" s="24" t="inlineStr">
        <is>
          <t>Not run</t>
        </is>
      </c>
      <c r="I85" s="50" t="n"/>
      <c r="J85" s="23" t="n"/>
      <c r="K85" s="22" t="n"/>
    </row>
    <row r="86" ht="70" customHeight="1">
      <c r="A86" s="38" t="inlineStr">
        <is>
          <t>G8</t>
        </is>
      </c>
      <c r="B86" s="39" t="inlineStr">
        <is>
          <t>G8.07</t>
        </is>
      </c>
      <c r="C86" s="28" t="inlineStr">
        <is>
          <t>Doc 22 Run 1 Outcome</t>
        </is>
      </c>
      <c r="D86" s="15" t="inlineStr">
        <is>
          <t>Reads PASS — all seventeen recorded (PASSED WITH FAILURES only with a logged Advisory failure)</t>
        </is>
      </c>
      <c r="E86" s="40" t="inlineStr">
        <is>
          <t>Doc 22 Run Summary</t>
        </is>
      </c>
      <c r="F86" s="41" t="n"/>
      <c r="G86" s="42">
        <f>IF($F86="","",IF(ISNUMBER(SEARCH(",",$F86)),"Yes — checks ","Yes — check ")&amp;$F86)</f>
        <v/>
      </c>
      <c r="H86" s="17" t="inlineStr">
        <is>
          <t>Not run</t>
        </is>
      </c>
      <c r="I86" s="43" t="n"/>
      <c r="J86" s="16" t="n"/>
      <c r="K86" s="15" t="n"/>
    </row>
    <row r="87" ht="20" customHeight="1">
      <c r="A87" s="35" t="inlineStr">
        <is>
          <t>G9 — PACKAGING   ·   Before the final push   ·   doc 25 §3.10</t>
        </is>
      </c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7" t="n"/>
    </row>
    <row r="88" ht="30" customHeight="1">
      <c r="A88" s="38" t="inlineStr">
        <is>
          <t>G9</t>
        </is>
      </c>
      <c r="B88" s="39" t="inlineStr">
        <is>
          <t>G9.01</t>
        </is>
      </c>
      <c r="C88" s="28" t="inlineStr">
        <is>
          <t>Doc 00 §14 checklist</t>
        </is>
      </c>
      <c r="D88" s="15" t="inlineStr">
        <is>
          <t>Run end to end</t>
        </is>
      </c>
      <c r="E88" s="40" t="inlineStr">
        <is>
          <t>Doc 00 §14</t>
        </is>
      </c>
      <c r="F88" s="41" t="n"/>
      <c r="G88" s="42">
        <f>IF($F88="","",IF(ISNUMBER(SEARCH(",",$F88)),"Yes — checks ","Yes — check ")&amp;$F88)</f>
        <v/>
      </c>
      <c r="H88" s="17" t="inlineStr">
        <is>
          <t>Not run</t>
        </is>
      </c>
      <c r="I88" s="43" t="n"/>
      <c r="J88" s="16" t="n"/>
      <c r="K88" s="15" t="n"/>
    </row>
    <row r="89" ht="30" customHeight="1">
      <c r="A89" s="44" t="inlineStr">
        <is>
          <t>G9</t>
        </is>
      </c>
      <c r="B89" s="45" t="inlineStr">
        <is>
          <t>G9.02</t>
        </is>
      </c>
      <c r="C89" s="46" t="inlineStr">
        <is>
          <t>Repository search</t>
        </is>
      </c>
      <c r="D89" s="22" t="inlineStr">
        <is>
          <t>No .csv, no key=, no first six characters of the key</t>
        </is>
      </c>
      <c r="E89" s="47" t="inlineStr">
        <is>
          <t>Doc 00 §12, §14</t>
        </is>
      </c>
      <c r="F89" s="48" t="n"/>
      <c r="G89" s="49">
        <f>IF($F89="","",IF(ISNUMBER(SEARCH(",",$F89)),"Yes — checks ","Yes — check ")&amp;$F89)</f>
        <v/>
      </c>
      <c r="H89" s="24" t="inlineStr">
        <is>
          <t>Not run</t>
        </is>
      </c>
      <c r="I89" s="50" t="n"/>
      <c r="J89" s="23" t="n"/>
      <c r="K89" s="22" t="n"/>
    </row>
    <row r="90" ht="30" customHeight="1">
      <c r="A90" s="38" t="inlineStr">
        <is>
          <t>G9</t>
        </is>
      </c>
      <c r="B90" s="39" t="inlineStr">
        <is>
          <t>G9.03</t>
        </is>
      </c>
      <c r="C90" s="28" t="inlineStr">
        <is>
          <t>Report PBIP folders</t>
        </is>
      </c>
      <c r="D90" s="15" t="inlineStr">
        <is>
          <t>Report definition only, no TMDL — the reports are thin</t>
        </is>
      </c>
      <c r="E90" s="40" t="inlineStr">
        <is>
          <t>Doc 00 §14</t>
        </is>
      </c>
      <c r="F90" s="41" t="n"/>
      <c r="G90" s="42">
        <f>IF($F90="","",IF(ISNUMBER(SEARCH(",",$F90)),"Yes — checks ","Yes — check ")&amp;$F90)</f>
        <v/>
      </c>
      <c r="H90" s="17" t="inlineStr">
        <is>
          <t>Not run</t>
        </is>
      </c>
      <c r="I90" s="43" t="n"/>
      <c r="J90" s="16" t="n"/>
      <c r="K90" s="15" t="n"/>
    </row>
    <row r="91">
      <c r="A91" s="53" t="n"/>
      <c r="B91" s="53" t="n"/>
      <c r="C91" s="53" t="n"/>
      <c r="D91" s="53" t="n"/>
      <c r="E91" s="53" t="n"/>
      <c r="F91" s="53" t="n"/>
      <c r="G91" s="42">
        <f>IF($F91="","",IF(ISNUMBER(SEARCH(",",$F91)),"Yes — checks ","Yes — check ")&amp;$F91)</f>
        <v/>
      </c>
      <c r="H91" s="53" t="n"/>
      <c r="I91" s="54" t="n"/>
      <c r="J91" s="53" t="n"/>
      <c r="K91" s="53" t="n"/>
    </row>
    <row r="92">
      <c r="A92" s="53" t="n"/>
      <c r="B92" s="53" t="n"/>
      <c r="C92" s="53" t="n"/>
      <c r="D92" s="53" t="n"/>
      <c r="E92" s="53" t="n"/>
      <c r="F92" s="53" t="n"/>
      <c r="G92" s="42">
        <f>IF($F92="","",IF(ISNUMBER(SEARCH(",",$F92)),"Yes — checks ","Yes — check ")&amp;$F92)</f>
        <v/>
      </c>
      <c r="H92" s="53" t="n"/>
      <c r="I92" s="54" t="n"/>
      <c r="J92" s="53" t="n"/>
      <c r="K92" s="53" t="n"/>
    </row>
    <row r="93">
      <c r="A93" s="53" t="n"/>
      <c r="B93" s="53" t="n"/>
      <c r="C93" s="53" t="n"/>
      <c r="D93" s="53" t="n"/>
      <c r="E93" s="53" t="n"/>
      <c r="F93" s="53" t="n"/>
      <c r="G93" s="42">
        <f>IF($F93="","",IF(ISNUMBER(SEARCH(",",$F93)),"Yes — checks ","Yes — check ")&amp;$F93)</f>
        <v/>
      </c>
      <c r="H93" s="53" t="n"/>
      <c r="I93" s="54" t="n"/>
      <c r="J93" s="53" t="n"/>
      <c r="K93" s="53" t="n"/>
    </row>
    <row r="94">
      <c r="A94" s="53" t="n"/>
      <c r="B94" s="53" t="n"/>
      <c r="C94" s="53" t="n"/>
      <c r="D94" s="53" t="n"/>
      <c r="E94" s="53" t="n"/>
      <c r="F94" s="53" t="n"/>
      <c r="G94" s="42">
        <f>IF($F94="","",IF(ISNUMBER(SEARCH(",",$F94)),"Yes — checks ","Yes — check ")&amp;$F94)</f>
        <v/>
      </c>
      <c r="H94" s="53" t="n"/>
      <c r="I94" s="54" t="n"/>
      <c r="J94" s="53" t="n"/>
      <c r="K94" s="53" t="n"/>
    </row>
    <row r="95">
      <c r="A95" s="53" t="n"/>
      <c r="B95" s="53" t="n"/>
      <c r="C95" s="53" t="n"/>
      <c r="D95" s="53" t="n"/>
      <c r="E95" s="53" t="n"/>
      <c r="F95" s="53" t="n"/>
      <c r="G95" s="42">
        <f>IF($F95="","",IF(ISNUMBER(SEARCH(",",$F95)),"Yes — checks ","Yes — check ")&amp;$F95)</f>
        <v/>
      </c>
      <c r="H95" s="53" t="n"/>
      <c r="I95" s="54" t="n"/>
      <c r="J95" s="53" t="n"/>
      <c r="K95" s="53" t="n"/>
    </row>
    <row r="96">
      <c r="A96" s="53" t="n"/>
      <c r="B96" s="53" t="n"/>
      <c r="C96" s="53" t="n"/>
      <c r="D96" s="53" t="n"/>
      <c r="E96" s="53" t="n"/>
      <c r="F96" s="53" t="n"/>
      <c r="G96" s="42">
        <f>IF($F96="","",IF(ISNUMBER(SEARCH(",",$F96)),"Yes — checks ","Yes — check ")&amp;$F96)</f>
        <v/>
      </c>
      <c r="H96" s="53" t="n"/>
      <c r="I96" s="54" t="n"/>
      <c r="J96" s="53" t="n"/>
      <c r="K96" s="53" t="n"/>
    </row>
    <row r="97">
      <c r="A97" s="53" t="n"/>
      <c r="B97" s="53" t="n"/>
      <c r="C97" s="53" t="n"/>
      <c r="D97" s="53" t="n"/>
      <c r="E97" s="53" t="n"/>
      <c r="F97" s="53" t="n"/>
      <c r="G97" s="42">
        <f>IF($F97="","",IF(ISNUMBER(SEARCH(",",$F97)),"Yes — checks ","Yes — check ")&amp;$F97)</f>
        <v/>
      </c>
      <c r="H97" s="53" t="n"/>
      <c r="I97" s="54" t="n"/>
      <c r="J97" s="53" t="n"/>
      <c r="K97" s="53" t="n"/>
    </row>
    <row r="98">
      <c r="A98" s="53" t="n"/>
      <c r="B98" s="53" t="n"/>
      <c r="C98" s="53" t="n"/>
      <c r="D98" s="53" t="n"/>
      <c r="E98" s="53" t="n"/>
      <c r="F98" s="53" t="n"/>
      <c r="G98" s="42">
        <f>IF($F98="","",IF(ISNUMBER(SEARCH(",",$F98)),"Yes — checks ","Yes — check ")&amp;$F98)</f>
        <v/>
      </c>
      <c r="H98" s="53" t="n"/>
      <c r="I98" s="54" t="n"/>
      <c r="J98" s="53" t="n"/>
      <c r="K98" s="53" t="n"/>
    </row>
    <row r="99">
      <c r="A99" s="53" t="n"/>
      <c r="B99" s="53" t="n"/>
      <c r="C99" s="53" t="n"/>
      <c r="D99" s="53" t="n"/>
      <c r="E99" s="53" t="n"/>
      <c r="F99" s="53" t="n"/>
      <c r="G99" s="42">
        <f>IF($F99="","",IF(ISNUMBER(SEARCH(",",$F99)),"Yes — checks ","Yes — check ")&amp;$F99)</f>
        <v/>
      </c>
      <c r="H99" s="53" t="n"/>
      <c r="I99" s="54" t="n"/>
      <c r="J99" s="53" t="n"/>
      <c r="K99" s="53" t="n"/>
    </row>
    <row r="100">
      <c r="A100" s="53" t="n"/>
      <c r="B100" s="53" t="n"/>
      <c r="C100" s="53" t="n"/>
      <c r="D100" s="53" t="n"/>
      <c r="E100" s="53" t="n"/>
      <c r="F100" s="53" t="n"/>
      <c r="G100" s="42">
        <f>IF($F100="","",IF(ISNUMBER(SEARCH(",",$F100)),"Yes — checks ","Yes — check ")&amp;$F100)</f>
        <v/>
      </c>
      <c r="H100" s="53" t="n"/>
      <c r="I100" s="54" t="n"/>
      <c r="J100" s="53" t="n"/>
      <c r="K100" s="53" t="n"/>
    </row>
    <row r="101">
      <c r="A101" s="53" t="n"/>
      <c r="B101" s="53" t="n"/>
      <c r="C101" s="53" t="n"/>
      <c r="D101" s="53" t="n"/>
      <c r="E101" s="53" t="n"/>
      <c r="F101" s="53" t="n"/>
      <c r="G101" s="42">
        <f>IF($F101="","",IF(ISNUMBER(SEARCH(",",$F101)),"Yes — checks ","Yes — check ")&amp;$F101)</f>
        <v/>
      </c>
      <c r="H101" s="53" t="n"/>
      <c r="I101" s="54" t="n"/>
      <c r="J101" s="53" t="n"/>
      <c r="K101" s="53" t="n"/>
    </row>
    <row r="102">
      <c r="A102" s="53" t="n"/>
      <c r="B102" s="53" t="n"/>
      <c r="C102" s="53" t="n"/>
      <c r="D102" s="53" t="n"/>
      <c r="E102" s="53" t="n"/>
      <c r="F102" s="53" t="n"/>
      <c r="G102" s="42">
        <f>IF($F102="","",IF(ISNUMBER(SEARCH(",",$F102)),"Yes — checks ","Yes — check ")&amp;$F102)</f>
        <v/>
      </c>
      <c r="H102" s="53" t="n"/>
      <c r="I102" s="54" t="n"/>
      <c r="J102" s="53" t="n"/>
      <c r="K102" s="53" t="n"/>
    </row>
    <row r="103">
      <c r="A103" s="53" t="n"/>
      <c r="B103" s="53" t="n"/>
      <c r="C103" s="53" t="n"/>
      <c r="D103" s="53" t="n"/>
      <c r="E103" s="53" t="n"/>
      <c r="F103" s="53" t="n"/>
      <c r="G103" s="42">
        <f>IF($F103="","",IF(ISNUMBER(SEARCH(",",$F103)),"Yes — checks ","Yes — check ")&amp;$F103)</f>
        <v/>
      </c>
      <c r="H103" s="53" t="n"/>
      <c r="I103" s="54" t="n"/>
      <c r="J103" s="53" t="n"/>
      <c r="K103" s="53" t="n"/>
    </row>
    <row r="104">
      <c r="A104" s="53" t="n"/>
      <c r="B104" s="53" t="n"/>
      <c r="C104" s="53" t="n"/>
      <c r="D104" s="53" t="n"/>
      <c r="E104" s="53" t="n"/>
      <c r="F104" s="53" t="n"/>
      <c r="G104" s="42">
        <f>IF($F104="","",IF(ISNUMBER(SEARCH(",",$F104)),"Yes — checks ","Yes — check ")&amp;$F104)</f>
        <v/>
      </c>
      <c r="H104" s="53" t="n"/>
      <c r="I104" s="54" t="n"/>
      <c r="J104" s="53" t="n"/>
      <c r="K104" s="53" t="n"/>
    </row>
    <row r="105">
      <c r="A105" s="53" t="n"/>
      <c r="B105" s="53" t="n"/>
      <c r="C105" s="53" t="n"/>
      <c r="D105" s="53" t="n"/>
      <c r="E105" s="53" t="n"/>
      <c r="F105" s="53" t="n"/>
      <c r="G105" s="42">
        <f>IF($F105="","",IF(ISNUMBER(SEARCH(",",$F105)),"Yes — checks ","Yes — check ")&amp;$F105)</f>
        <v/>
      </c>
      <c r="H105" s="53" t="n"/>
      <c r="I105" s="54" t="n"/>
      <c r="J105" s="53" t="n"/>
      <c r="K105" s="53" t="n"/>
    </row>
    <row r="106">
      <c r="A106" s="53" t="n"/>
      <c r="B106" s="53" t="n"/>
      <c r="C106" s="53" t="n"/>
      <c r="D106" s="53" t="n"/>
      <c r="E106" s="53" t="n"/>
      <c r="F106" s="53" t="n"/>
      <c r="G106" s="42">
        <f>IF($F106="","",IF(ISNUMBER(SEARCH(",",$F106)),"Yes — checks ","Yes — check ")&amp;$F106)</f>
        <v/>
      </c>
      <c r="H106" s="53" t="n"/>
      <c r="I106" s="54" t="n"/>
      <c r="J106" s="53" t="n"/>
      <c r="K106" s="53" t="n"/>
    </row>
    <row r="107">
      <c r="A107" s="53" t="n"/>
      <c r="B107" s="53" t="n"/>
      <c r="C107" s="53" t="n"/>
      <c r="D107" s="53" t="n"/>
      <c r="E107" s="53" t="n"/>
      <c r="F107" s="53" t="n"/>
      <c r="G107" s="42">
        <f>IF($F107="","",IF(ISNUMBER(SEARCH(",",$F107)),"Yes — checks ","Yes — check ")&amp;$F107)</f>
        <v/>
      </c>
      <c r="H107" s="53" t="n"/>
      <c r="I107" s="54" t="n"/>
      <c r="J107" s="53" t="n"/>
      <c r="K107" s="53" t="n"/>
    </row>
    <row r="108">
      <c r="A108" s="53" t="n"/>
      <c r="B108" s="53" t="n"/>
      <c r="C108" s="53" t="n"/>
      <c r="D108" s="53" t="n"/>
      <c r="E108" s="53" t="n"/>
      <c r="F108" s="53" t="n"/>
      <c r="G108" s="42">
        <f>IF($F108="","",IF(ISNUMBER(SEARCH(",",$F108)),"Yes — checks ","Yes — check ")&amp;$F108)</f>
        <v/>
      </c>
      <c r="H108" s="53" t="n"/>
      <c r="I108" s="54" t="n"/>
      <c r="J108" s="53" t="n"/>
      <c r="K108" s="53" t="n"/>
    </row>
    <row r="109">
      <c r="A109" s="53" t="n"/>
      <c r="B109" s="53" t="n"/>
      <c r="C109" s="53" t="n"/>
      <c r="D109" s="53" t="n"/>
      <c r="E109" s="53" t="n"/>
      <c r="F109" s="53" t="n"/>
      <c r="G109" s="42">
        <f>IF($F109="","",IF(ISNUMBER(SEARCH(",",$F109)),"Yes — checks ","Yes — check ")&amp;$F109)</f>
        <v/>
      </c>
      <c r="H109" s="53" t="n"/>
      <c r="I109" s="54" t="n"/>
      <c r="J109" s="53" t="n"/>
      <c r="K109" s="53" t="n"/>
    </row>
    <row r="110">
      <c r="A110" s="53" t="n"/>
      <c r="B110" s="53" t="n"/>
      <c r="C110" s="53" t="n"/>
      <c r="D110" s="53" t="n"/>
      <c r="E110" s="53" t="n"/>
      <c r="F110" s="53" t="n"/>
      <c r="G110" s="42">
        <f>IF($F110="","",IF(ISNUMBER(SEARCH(",",$F110)),"Yes — checks ","Yes — check ")&amp;$F110)</f>
        <v/>
      </c>
      <c r="H110" s="53" t="n"/>
      <c r="I110" s="54" t="n"/>
      <c r="J110" s="53" t="n"/>
      <c r="K110" s="53" t="n"/>
    </row>
    <row r="111">
      <c r="A111" s="53" t="n"/>
      <c r="B111" s="53" t="n"/>
      <c r="C111" s="53" t="n"/>
      <c r="D111" s="53" t="n"/>
      <c r="E111" s="53" t="n"/>
      <c r="F111" s="53" t="n"/>
      <c r="G111" s="42">
        <f>IF($F111="","",IF(ISNUMBER(SEARCH(",",$F111)),"Yes — checks ","Yes — check ")&amp;$F111)</f>
        <v/>
      </c>
      <c r="H111" s="53" t="n"/>
      <c r="I111" s="54" t="n"/>
      <c r="J111" s="53" t="n"/>
      <c r="K111" s="53" t="n"/>
    </row>
    <row r="112">
      <c r="A112" s="53" t="n"/>
      <c r="B112" s="53" t="n"/>
      <c r="C112" s="53" t="n"/>
      <c r="D112" s="53" t="n"/>
      <c r="E112" s="53" t="n"/>
      <c r="F112" s="53" t="n"/>
      <c r="G112" s="42">
        <f>IF($F112="","",IF(ISNUMBER(SEARCH(",",$F112)),"Yes — checks ","Yes — check ")&amp;$F112)</f>
        <v/>
      </c>
      <c r="H112" s="53" t="n"/>
      <c r="I112" s="54" t="n"/>
      <c r="J112" s="53" t="n"/>
      <c r="K112" s="53" t="n"/>
    </row>
    <row r="113">
      <c r="A113" s="53" t="n"/>
      <c r="B113" s="53" t="n"/>
      <c r="C113" s="53" t="n"/>
      <c r="D113" s="53" t="n"/>
      <c r="E113" s="53" t="n"/>
      <c r="F113" s="53" t="n"/>
      <c r="G113" s="42">
        <f>IF($F113="","",IF(ISNUMBER(SEARCH(",",$F113)),"Yes — checks ","Yes — check ")&amp;$F113)</f>
        <v/>
      </c>
      <c r="H113" s="53" t="n"/>
      <c r="I113" s="54" t="n"/>
      <c r="J113" s="53" t="n"/>
      <c r="K113" s="53" t="n"/>
    </row>
    <row r="114">
      <c r="A114" s="53" t="n"/>
      <c r="B114" s="53" t="n"/>
      <c r="C114" s="53" t="n"/>
      <c r="D114" s="53" t="n"/>
      <c r="E114" s="53" t="n"/>
      <c r="F114" s="53" t="n"/>
      <c r="G114" s="42">
        <f>IF($F114="","",IF(ISNUMBER(SEARCH(",",$F114)),"Yes — checks ","Yes — check ")&amp;$F114)</f>
        <v/>
      </c>
      <c r="H114" s="53" t="n"/>
      <c r="I114" s="54" t="n"/>
      <c r="J114" s="53" t="n"/>
      <c r="K114" s="53" t="n"/>
    </row>
    <row r="115">
      <c r="A115" s="53" t="n"/>
      <c r="B115" s="53" t="n"/>
      <c r="C115" s="53" t="n"/>
      <c r="D115" s="53" t="n"/>
      <c r="E115" s="53" t="n"/>
      <c r="F115" s="53" t="n"/>
      <c r="G115" s="42">
        <f>IF($F115="","",IF(ISNUMBER(SEARCH(",",$F115)),"Yes — checks ","Yes — check ")&amp;$F115)</f>
        <v/>
      </c>
      <c r="H115" s="53" t="n"/>
      <c r="I115" s="54" t="n"/>
      <c r="J115" s="53" t="n"/>
      <c r="K115" s="53" t="n"/>
    </row>
    <row r="116">
      <c r="A116" s="53" t="n"/>
      <c r="B116" s="53" t="n"/>
      <c r="C116" s="53" t="n"/>
      <c r="D116" s="53" t="n"/>
      <c r="E116" s="53" t="n"/>
      <c r="F116" s="53" t="n"/>
      <c r="G116" s="42">
        <f>IF($F116="","",IF(ISNUMBER(SEARCH(",",$F116)),"Yes — checks ","Yes — check ")&amp;$F116)</f>
        <v/>
      </c>
      <c r="H116" s="53" t="n"/>
      <c r="I116" s="54" t="n"/>
      <c r="J116" s="53" t="n"/>
      <c r="K116" s="53" t="n"/>
    </row>
    <row r="117">
      <c r="A117" s="53" t="n"/>
      <c r="B117" s="53" t="n"/>
      <c r="C117" s="53" t="n"/>
      <c r="D117" s="53" t="n"/>
      <c r="E117" s="53" t="n"/>
      <c r="F117" s="53" t="n"/>
      <c r="G117" s="42">
        <f>IF($F117="","",IF(ISNUMBER(SEARCH(",",$F117)),"Yes — checks ","Yes — check ")&amp;$F117)</f>
        <v/>
      </c>
      <c r="H117" s="53" t="n"/>
      <c r="I117" s="54" t="n"/>
      <c r="J117" s="53" t="n"/>
      <c r="K117" s="53" t="n"/>
    </row>
    <row r="118">
      <c r="A118" s="53" t="n"/>
      <c r="B118" s="53" t="n"/>
      <c r="C118" s="53" t="n"/>
      <c r="D118" s="53" t="n"/>
      <c r="E118" s="53" t="n"/>
      <c r="F118" s="53" t="n"/>
      <c r="G118" s="42">
        <f>IF($F118="","",IF(ISNUMBER(SEARCH(",",$F118)),"Yes — checks ","Yes — check ")&amp;$F118)</f>
        <v/>
      </c>
      <c r="H118" s="53" t="n"/>
      <c r="I118" s="54" t="n"/>
      <c r="J118" s="53" t="n"/>
      <c r="K118" s="53" t="n"/>
    </row>
    <row r="119">
      <c r="A119" s="53" t="n"/>
      <c r="B119" s="53" t="n"/>
      <c r="C119" s="53" t="n"/>
      <c r="D119" s="53" t="n"/>
      <c r="E119" s="53" t="n"/>
      <c r="F119" s="53" t="n"/>
      <c r="G119" s="42">
        <f>IF($F119="","",IF(ISNUMBER(SEARCH(",",$F119)),"Yes — checks ","Yes — check ")&amp;$F119)</f>
        <v/>
      </c>
      <c r="H119" s="53" t="n"/>
      <c r="I119" s="54" t="n"/>
      <c r="J119" s="53" t="n"/>
      <c r="K119" s="53" t="n"/>
    </row>
    <row r="120">
      <c r="A120" s="53" t="n"/>
      <c r="B120" s="53" t="n"/>
      <c r="C120" s="53" t="n"/>
      <c r="D120" s="53" t="n"/>
      <c r="E120" s="53" t="n"/>
      <c r="F120" s="53" t="n"/>
      <c r="G120" s="42">
        <f>IF($F120="","",IF(ISNUMBER(SEARCH(",",$F120)),"Yes — checks ","Yes — check ")&amp;$F120)</f>
        <v/>
      </c>
      <c r="H120" s="53" t="n"/>
      <c r="I120" s="54" t="n"/>
      <c r="J120" s="53" t="n"/>
      <c r="K120" s="53" t="n"/>
    </row>
    <row r="121">
      <c r="A121" s="53" t="n"/>
      <c r="B121" s="53" t="n"/>
      <c r="C121" s="53" t="n"/>
      <c r="D121" s="53" t="n"/>
      <c r="E121" s="53" t="n"/>
      <c r="F121" s="53" t="n"/>
      <c r="G121" s="42">
        <f>IF($F121="","",IF(ISNUMBER(SEARCH(",",$F121)),"Yes — checks ","Yes — check ")&amp;$F121)</f>
        <v/>
      </c>
      <c r="H121" s="53" t="n"/>
      <c r="I121" s="54" t="n"/>
      <c r="J121" s="53" t="n"/>
      <c r="K121" s="53" t="n"/>
    </row>
    <row r="122">
      <c r="A122" s="53" t="n"/>
      <c r="B122" s="53" t="n"/>
      <c r="C122" s="53" t="n"/>
      <c r="D122" s="53" t="n"/>
      <c r="E122" s="53" t="n"/>
      <c r="F122" s="53" t="n"/>
      <c r="G122" s="42">
        <f>IF($F122="","",IF(ISNUMBER(SEARCH(",",$F122)),"Yes — checks ","Yes — check ")&amp;$F122)</f>
        <v/>
      </c>
      <c r="H122" s="53" t="n"/>
      <c r="I122" s="54" t="n"/>
      <c r="J122" s="53" t="n"/>
      <c r="K122" s="53" t="n"/>
    </row>
    <row r="123">
      <c r="A123" s="53" t="n"/>
      <c r="B123" s="53" t="n"/>
      <c r="C123" s="53" t="n"/>
      <c r="D123" s="53" t="n"/>
      <c r="E123" s="53" t="n"/>
      <c r="F123" s="53" t="n"/>
      <c r="G123" s="42">
        <f>IF($F123="","",IF(ISNUMBER(SEARCH(",",$F123)),"Yes — checks ","Yes — check ")&amp;$F123)</f>
        <v/>
      </c>
      <c r="H123" s="53" t="n"/>
      <c r="I123" s="54" t="n"/>
      <c r="J123" s="53" t="n"/>
      <c r="K123" s="53" t="n"/>
    </row>
    <row r="124">
      <c r="A124" s="53" t="n"/>
      <c r="B124" s="53" t="n"/>
      <c r="C124" s="53" t="n"/>
      <c r="D124" s="53" t="n"/>
      <c r="E124" s="53" t="n"/>
      <c r="F124" s="53" t="n"/>
      <c r="G124" s="42">
        <f>IF($F124="","",IF(ISNUMBER(SEARCH(",",$F124)),"Yes — checks ","Yes — check ")&amp;$F124)</f>
        <v/>
      </c>
      <c r="H124" s="53" t="n"/>
      <c r="I124" s="54" t="n"/>
      <c r="J124" s="53" t="n"/>
      <c r="K124" s="53" t="n"/>
    </row>
    <row r="125">
      <c r="A125" s="53" t="n"/>
      <c r="B125" s="53" t="n"/>
      <c r="C125" s="53" t="n"/>
      <c r="D125" s="53" t="n"/>
      <c r="E125" s="53" t="n"/>
      <c r="F125" s="53" t="n"/>
      <c r="G125" s="42">
        <f>IF($F125="","",IF(ISNUMBER(SEARCH(",",$F125)),"Yes — checks ","Yes — check ")&amp;$F125)</f>
        <v/>
      </c>
      <c r="H125" s="53" t="n"/>
      <c r="I125" s="54" t="n"/>
      <c r="J125" s="53" t="n"/>
      <c r="K125" s="53" t="n"/>
    </row>
    <row r="126">
      <c r="A126" s="53" t="n"/>
      <c r="B126" s="53" t="n"/>
      <c r="C126" s="53" t="n"/>
      <c r="D126" s="53" t="n"/>
      <c r="E126" s="53" t="n"/>
      <c r="F126" s="53" t="n"/>
      <c r="G126" s="42">
        <f>IF($F126="","",IF(ISNUMBER(SEARCH(",",$F126)),"Yes — checks ","Yes — check ")&amp;$F126)</f>
        <v/>
      </c>
      <c r="H126" s="53" t="n"/>
      <c r="I126" s="54" t="n"/>
      <c r="J126" s="53" t="n"/>
      <c r="K126" s="53" t="n"/>
    </row>
    <row r="127">
      <c r="A127" s="53" t="n"/>
      <c r="B127" s="53" t="n"/>
      <c r="C127" s="53" t="n"/>
      <c r="D127" s="53" t="n"/>
      <c r="E127" s="53" t="n"/>
      <c r="F127" s="53" t="n"/>
      <c r="G127" s="42">
        <f>IF($F127="","",IF(ISNUMBER(SEARCH(",",$F127)),"Yes — checks ","Yes — check ")&amp;$F127)</f>
        <v/>
      </c>
      <c r="H127" s="53" t="n"/>
      <c r="I127" s="54" t="n"/>
      <c r="J127" s="53" t="n"/>
      <c r="K127" s="53" t="n"/>
    </row>
    <row r="128">
      <c r="A128" s="53" t="n"/>
      <c r="B128" s="53" t="n"/>
      <c r="C128" s="53" t="n"/>
      <c r="D128" s="53" t="n"/>
      <c r="E128" s="53" t="n"/>
      <c r="F128" s="53" t="n"/>
      <c r="G128" s="42">
        <f>IF($F128="","",IF(ISNUMBER(SEARCH(",",$F128)),"Yes — checks ","Yes — check ")&amp;$F128)</f>
        <v/>
      </c>
      <c r="H128" s="53" t="n"/>
      <c r="I128" s="54" t="n"/>
      <c r="J128" s="53" t="n"/>
      <c r="K128" s="53" t="n"/>
    </row>
    <row r="129">
      <c r="A129" s="53" t="n"/>
      <c r="B129" s="53" t="n"/>
      <c r="C129" s="53" t="n"/>
      <c r="D129" s="53" t="n"/>
      <c r="E129" s="53" t="n"/>
      <c r="F129" s="53" t="n"/>
      <c r="G129" s="42">
        <f>IF($F129="","",IF(ISNUMBER(SEARCH(",",$F129)),"Yes — checks ","Yes — check ")&amp;$F129)</f>
        <v/>
      </c>
      <c r="H129" s="53" t="n"/>
      <c r="I129" s="54" t="n"/>
      <c r="J129" s="53" t="n"/>
      <c r="K129" s="53" t="n"/>
    </row>
    <row r="130">
      <c r="A130" s="53" t="n"/>
      <c r="B130" s="53" t="n"/>
      <c r="C130" s="53" t="n"/>
      <c r="D130" s="53" t="n"/>
      <c r="E130" s="53" t="n"/>
      <c r="F130" s="53" t="n"/>
      <c r="G130" s="42">
        <f>IF($F130="","",IF(ISNUMBER(SEARCH(",",$F130)),"Yes — checks ","Yes — check ")&amp;$F130)</f>
        <v/>
      </c>
      <c r="H130" s="53" t="n"/>
      <c r="I130" s="54" t="n"/>
      <c r="J130" s="53" t="n"/>
      <c r="K130" s="53" t="n"/>
    </row>
    <row r="131">
      <c r="A131" s="53" t="n"/>
      <c r="B131" s="53" t="n"/>
      <c r="C131" s="53" t="n"/>
      <c r="D131" s="53" t="n"/>
      <c r="E131" s="53" t="n"/>
      <c r="F131" s="53" t="n"/>
      <c r="G131" s="42">
        <f>IF($F131="","",IF(ISNUMBER(SEARCH(",",$F131)),"Yes — checks ","Yes — check ")&amp;$F131)</f>
        <v/>
      </c>
      <c r="H131" s="53" t="n"/>
      <c r="I131" s="54" t="n"/>
      <c r="J131" s="53" t="n"/>
      <c r="K131" s="53" t="n"/>
    </row>
    <row r="132">
      <c r="A132" s="53" t="n"/>
      <c r="B132" s="53" t="n"/>
      <c r="C132" s="53" t="n"/>
      <c r="D132" s="53" t="n"/>
      <c r="E132" s="53" t="n"/>
      <c r="F132" s="53" t="n"/>
      <c r="G132" s="42">
        <f>IF($F132="","",IF(ISNUMBER(SEARCH(",",$F132)),"Yes — checks ","Yes — check ")&amp;$F132)</f>
        <v/>
      </c>
      <c r="H132" s="53" t="n"/>
      <c r="I132" s="54" t="n"/>
      <c r="J132" s="53" t="n"/>
      <c r="K132" s="53" t="n"/>
    </row>
    <row r="133">
      <c r="A133" s="53" t="n"/>
      <c r="B133" s="53" t="n"/>
      <c r="C133" s="53" t="n"/>
      <c r="D133" s="53" t="n"/>
      <c r="E133" s="53" t="n"/>
      <c r="F133" s="53" t="n"/>
      <c r="G133" s="42">
        <f>IF($F133="","",IF(ISNUMBER(SEARCH(",",$F133)),"Yes — checks ","Yes — check ")&amp;$F133)</f>
        <v/>
      </c>
      <c r="H133" s="53" t="n"/>
      <c r="I133" s="54" t="n"/>
      <c r="J133" s="53" t="n"/>
      <c r="K133" s="53" t="n"/>
    </row>
    <row r="134">
      <c r="A134" s="53" t="n"/>
      <c r="B134" s="53" t="n"/>
      <c r="C134" s="53" t="n"/>
      <c r="D134" s="53" t="n"/>
      <c r="E134" s="53" t="n"/>
      <c r="F134" s="53" t="n"/>
      <c r="G134" s="42">
        <f>IF($F134="","",IF(ISNUMBER(SEARCH(",",$F134)),"Yes — checks ","Yes — check ")&amp;$F134)</f>
        <v/>
      </c>
      <c r="H134" s="53" t="n"/>
      <c r="I134" s="54" t="n"/>
      <c r="J134" s="53" t="n"/>
      <c r="K134" s="53" t="n"/>
    </row>
    <row r="135">
      <c r="A135" s="53" t="n"/>
      <c r="B135" s="53" t="n"/>
      <c r="C135" s="53" t="n"/>
      <c r="D135" s="53" t="n"/>
      <c r="E135" s="53" t="n"/>
      <c r="F135" s="53" t="n"/>
      <c r="G135" s="42">
        <f>IF($F135="","",IF(ISNUMBER(SEARCH(",",$F135)),"Yes — checks ","Yes — check ")&amp;$F135)</f>
        <v/>
      </c>
      <c r="H135" s="53" t="n"/>
      <c r="I135" s="54" t="n"/>
      <c r="J135" s="53" t="n"/>
      <c r="K135" s="53" t="n"/>
    </row>
    <row r="136">
      <c r="A136" s="53" t="n"/>
      <c r="B136" s="53" t="n"/>
      <c r="C136" s="53" t="n"/>
      <c r="D136" s="53" t="n"/>
      <c r="E136" s="53" t="n"/>
      <c r="F136" s="53" t="n"/>
      <c r="G136" s="42">
        <f>IF($F136="","",IF(ISNUMBER(SEARCH(",",$F136)),"Yes — checks ","Yes — check ")&amp;$F136)</f>
        <v/>
      </c>
      <c r="H136" s="53" t="n"/>
      <c r="I136" s="54" t="n"/>
      <c r="J136" s="53" t="n"/>
      <c r="K136" s="53" t="n"/>
    </row>
    <row r="137">
      <c r="A137" s="53" t="n"/>
      <c r="B137" s="53" t="n"/>
      <c r="C137" s="53" t="n"/>
      <c r="D137" s="53" t="n"/>
      <c r="E137" s="53" t="n"/>
      <c r="F137" s="53" t="n"/>
      <c r="G137" s="42">
        <f>IF($F137="","",IF(ISNUMBER(SEARCH(",",$F137)),"Yes — checks ","Yes — check ")&amp;$F137)</f>
        <v/>
      </c>
      <c r="H137" s="53" t="n"/>
      <c r="I137" s="54" t="n"/>
      <c r="J137" s="53" t="n"/>
      <c r="K137" s="53" t="n"/>
    </row>
    <row r="138">
      <c r="A138" s="53" t="n"/>
      <c r="B138" s="53" t="n"/>
      <c r="C138" s="53" t="n"/>
      <c r="D138" s="53" t="n"/>
      <c r="E138" s="53" t="n"/>
      <c r="F138" s="53" t="n"/>
      <c r="G138" s="42">
        <f>IF($F138="","",IF(ISNUMBER(SEARCH(",",$F138)),"Yes — checks ","Yes — check ")&amp;$F138)</f>
        <v/>
      </c>
      <c r="H138" s="53" t="n"/>
      <c r="I138" s="54" t="n"/>
      <c r="J138" s="53" t="n"/>
      <c r="K138" s="53" t="n"/>
    </row>
    <row r="139">
      <c r="A139" s="53" t="n"/>
      <c r="B139" s="53" t="n"/>
      <c r="C139" s="53" t="n"/>
      <c r="D139" s="53" t="n"/>
      <c r="E139" s="53" t="n"/>
      <c r="F139" s="53" t="n"/>
      <c r="G139" s="42">
        <f>IF($F139="","",IF(ISNUMBER(SEARCH(",",$F139)),"Yes — checks ","Yes — check ")&amp;$F139)</f>
        <v/>
      </c>
      <c r="H139" s="53" t="n"/>
      <c r="I139" s="54" t="n"/>
      <c r="J139" s="53" t="n"/>
      <c r="K139" s="53" t="n"/>
    </row>
    <row r="140">
      <c r="A140" s="53" t="n"/>
      <c r="B140" s="53" t="n"/>
      <c r="C140" s="53" t="n"/>
      <c r="D140" s="53" t="n"/>
      <c r="E140" s="53" t="n"/>
      <c r="F140" s="53" t="n"/>
      <c r="G140" s="42">
        <f>IF($F140="","",IF(ISNUMBER(SEARCH(",",$F140)),"Yes — checks ","Yes — check ")&amp;$F140)</f>
        <v/>
      </c>
      <c r="H140" s="53" t="n"/>
      <c r="I140" s="54" t="n"/>
      <c r="J140" s="53" t="n"/>
      <c r="K140" s="53" t="n"/>
    </row>
    <row r="141">
      <c r="A141" s="53" t="n"/>
      <c r="B141" s="53" t="n"/>
      <c r="C141" s="53" t="n"/>
      <c r="D141" s="53" t="n"/>
      <c r="E141" s="53" t="n"/>
      <c r="F141" s="53" t="n"/>
      <c r="G141" s="42">
        <f>IF($F141="","",IF(ISNUMBER(SEARCH(",",$F141)),"Yes — checks ","Yes — check ")&amp;$F141)</f>
        <v/>
      </c>
      <c r="H141" s="53" t="n"/>
      <c r="I141" s="54" t="n"/>
      <c r="J141" s="53" t="n"/>
      <c r="K141" s="53" t="n"/>
    </row>
    <row r="142">
      <c r="A142" s="53" t="n"/>
      <c r="B142" s="53" t="n"/>
      <c r="C142" s="53" t="n"/>
      <c r="D142" s="53" t="n"/>
      <c r="E142" s="53" t="n"/>
      <c r="F142" s="53" t="n"/>
      <c r="G142" s="42">
        <f>IF($F142="","",IF(ISNUMBER(SEARCH(",",$F142)),"Yes — checks ","Yes — check ")&amp;$F142)</f>
        <v/>
      </c>
      <c r="H142" s="53" t="n"/>
      <c r="I142" s="54" t="n"/>
      <c r="J142" s="53" t="n"/>
      <c r="K142" s="53" t="n"/>
    </row>
    <row r="143">
      <c r="A143" s="53" t="n"/>
      <c r="B143" s="53" t="n"/>
      <c r="C143" s="53" t="n"/>
      <c r="D143" s="53" t="n"/>
      <c r="E143" s="53" t="n"/>
      <c r="F143" s="53" t="n"/>
      <c r="G143" s="42">
        <f>IF($F143="","",IF(ISNUMBER(SEARCH(",",$F143)),"Yes — checks ","Yes — check ")&amp;$F143)</f>
        <v/>
      </c>
      <c r="H143" s="53" t="n"/>
      <c r="I143" s="54" t="n"/>
      <c r="J143" s="53" t="n"/>
      <c r="K143" s="53" t="n"/>
    </row>
    <row r="144">
      <c r="A144" s="53" t="n"/>
      <c r="B144" s="53" t="n"/>
      <c r="C144" s="53" t="n"/>
      <c r="D144" s="53" t="n"/>
      <c r="E144" s="53" t="n"/>
      <c r="F144" s="53" t="n"/>
      <c r="G144" s="42">
        <f>IF($F144="","",IF(ISNUMBER(SEARCH(",",$F144)),"Yes — checks ","Yes — check ")&amp;$F144)</f>
        <v/>
      </c>
      <c r="H144" s="53" t="n"/>
      <c r="I144" s="54" t="n"/>
      <c r="J144" s="53" t="n"/>
      <c r="K144" s="53" t="n"/>
    </row>
    <row r="145">
      <c r="A145" s="53" t="n"/>
      <c r="B145" s="53" t="n"/>
      <c r="C145" s="53" t="n"/>
      <c r="D145" s="53" t="n"/>
      <c r="E145" s="53" t="n"/>
      <c r="F145" s="53" t="n"/>
      <c r="G145" s="42">
        <f>IF($F145="","",IF(ISNUMBER(SEARCH(",",$F145)),"Yes — checks ","Yes — check ")&amp;$F145)</f>
        <v/>
      </c>
      <c r="H145" s="53" t="n"/>
      <c r="I145" s="54" t="n"/>
      <c r="J145" s="53" t="n"/>
      <c r="K145" s="53" t="n"/>
    </row>
    <row r="146">
      <c r="A146" s="53" t="n"/>
      <c r="B146" s="53" t="n"/>
      <c r="C146" s="53" t="n"/>
      <c r="D146" s="53" t="n"/>
      <c r="E146" s="53" t="n"/>
      <c r="F146" s="53" t="n"/>
      <c r="G146" s="42">
        <f>IF($F146="","",IF(ISNUMBER(SEARCH(",",$F146)),"Yes — checks ","Yes — check ")&amp;$F146)</f>
        <v/>
      </c>
      <c r="H146" s="53" t="n"/>
      <c r="I146" s="54" t="n"/>
      <c r="J146" s="53" t="n"/>
      <c r="K146" s="53" t="n"/>
    </row>
    <row r="147">
      <c r="A147" s="53" t="n"/>
      <c r="B147" s="53" t="n"/>
      <c r="C147" s="53" t="n"/>
      <c r="D147" s="53" t="n"/>
      <c r="E147" s="53" t="n"/>
      <c r="F147" s="53" t="n"/>
      <c r="G147" s="42">
        <f>IF($F147="","",IF(ISNUMBER(SEARCH(",",$F147)),"Yes — checks ","Yes — check ")&amp;$F147)</f>
        <v/>
      </c>
      <c r="H147" s="53" t="n"/>
      <c r="I147" s="54" t="n"/>
      <c r="J147" s="53" t="n"/>
      <c r="K147" s="53" t="n"/>
    </row>
    <row r="148">
      <c r="A148" s="53" t="n"/>
      <c r="B148" s="53" t="n"/>
      <c r="C148" s="53" t="n"/>
      <c r="D148" s="53" t="n"/>
      <c r="E148" s="53" t="n"/>
      <c r="F148" s="53" t="n"/>
      <c r="G148" s="42">
        <f>IF($F148="","",IF(ISNUMBER(SEARCH(",",$F148)),"Yes — checks ","Yes — check ")&amp;$F148)</f>
        <v/>
      </c>
      <c r="H148" s="53" t="n"/>
      <c r="I148" s="54" t="n"/>
      <c r="J148" s="53" t="n"/>
      <c r="K148" s="53" t="n"/>
    </row>
    <row r="149">
      <c r="A149" s="53" t="n"/>
      <c r="B149" s="53" t="n"/>
      <c r="C149" s="53" t="n"/>
      <c r="D149" s="53" t="n"/>
      <c r="E149" s="53" t="n"/>
      <c r="F149" s="53" t="n"/>
      <c r="G149" s="42">
        <f>IF($F149="","",IF(ISNUMBER(SEARCH(",",$F149)),"Yes — checks ","Yes — check ")&amp;$F149)</f>
        <v/>
      </c>
      <c r="H149" s="53" t="n"/>
      <c r="I149" s="54" t="n"/>
      <c r="J149" s="53" t="n"/>
      <c r="K149" s="53" t="n"/>
    </row>
    <row r="150">
      <c r="A150" s="53" t="n"/>
      <c r="B150" s="53" t="n"/>
      <c r="C150" s="53" t="n"/>
      <c r="D150" s="53" t="n"/>
      <c r="E150" s="53" t="n"/>
      <c r="F150" s="53" t="n"/>
      <c r="G150" s="42">
        <f>IF($F150="","",IF(ISNUMBER(SEARCH(",",$F150)),"Yes — checks ","Yes — check ")&amp;$F150)</f>
        <v/>
      </c>
      <c r="H150" s="53" t="n"/>
      <c r="I150" s="54" t="n"/>
      <c r="J150" s="53" t="n"/>
      <c r="K150" s="53" t="n"/>
    </row>
    <row r="151">
      <c r="A151" s="53" t="n"/>
      <c r="B151" s="53" t="n"/>
      <c r="C151" s="53" t="n"/>
      <c r="D151" s="53" t="n"/>
      <c r="E151" s="53" t="n"/>
      <c r="F151" s="53" t="n"/>
      <c r="G151" s="42">
        <f>IF($F151="","",IF(ISNUMBER(SEARCH(",",$F151)),"Yes — checks ","Yes — check ")&amp;$F151)</f>
        <v/>
      </c>
      <c r="H151" s="53" t="n"/>
      <c r="I151" s="54" t="n"/>
      <c r="J151" s="53" t="n"/>
      <c r="K151" s="53" t="n"/>
    </row>
    <row r="152">
      <c r="A152" s="53" t="n"/>
      <c r="B152" s="53" t="n"/>
      <c r="C152" s="53" t="n"/>
      <c r="D152" s="53" t="n"/>
      <c r="E152" s="53" t="n"/>
      <c r="F152" s="53" t="n"/>
      <c r="G152" s="42">
        <f>IF($F152="","",IF(ISNUMBER(SEARCH(",",$F152)),"Yes — checks ","Yes — check ")&amp;$F152)</f>
        <v/>
      </c>
      <c r="H152" s="53" t="n"/>
      <c r="I152" s="54" t="n"/>
      <c r="J152" s="53" t="n"/>
      <c r="K152" s="53" t="n"/>
    </row>
    <row r="153">
      <c r="A153" s="53" t="n"/>
      <c r="B153" s="53" t="n"/>
      <c r="C153" s="53" t="n"/>
      <c r="D153" s="53" t="n"/>
      <c r="E153" s="53" t="n"/>
      <c r="F153" s="53" t="n"/>
      <c r="G153" s="42">
        <f>IF($F153="","",IF(ISNUMBER(SEARCH(",",$F153)),"Yes — checks ","Yes — check ")&amp;$F153)</f>
        <v/>
      </c>
      <c r="H153" s="53" t="n"/>
      <c r="I153" s="54" t="n"/>
      <c r="J153" s="53" t="n"/>
      <c r="K153" s="53" t="n"/>
    </row>
    <row r="154">
      <c r="A154" s="53" t="n"/>
      <c r="B154" s="53" t="n"/>
      <c r="C154" s="53" t="n"/>
      <c r="D154" s="53" t="n"/>
      <c r="E154" s="53" t="n"/>
      <c r="F154" s="53" t="n"/>
      <c r="G154" s="42">
        <f>IF($F154="","",IF(ISNUMBER(SEARCH(",",$F154)),"Yes — checks ","Yes — check ")&amp;$F154)</f>
        <v/>
      </c>
      <c r="H154" s="53" t="n"/>
      <c r="I154" s="54" t="n"/>
      <c r="J154" s="53" t="n"/>
      <c r="K154" s="53" t="n"/>
    </row>
    <row r="155">
      <c r="A155" s="53" t="n"/>
      <c r="B155" s="53" t="n"/>
      <c r="C155" s="53" t="n"/>
      <c r="D155" s="53" t="n"/>
      <c r="E155" s="53" t="n"/>
      <c r="F155" s="53" t="n"/>
      <c r="G155" s="42">
        <f>IF($F155="","",IF(ISNUMBER(SEARCH(",",$F155)),"Yes — checks ","Yes — check ")&amp;$F155)</f>
        <v/>
      </c>
      <c r="H155" s="53" t="n"/>
      <c r="I155" s="54" t="n"/>
      <c r="J155" s="53" t="n"/>
      <c r="K155" s="53" t="n"/>
    </row>
    <row r="156">
      <c r="A156" s="53" t="n"/>
      <c r="B156" s="53" t="n"/>
      <c r="C156" s="53" t="n"/>
      <c r="D156" s="53" t="n"/>
      <c r="E156" s="53" t="n"/>
      <c r="F156" s="53" t="n"/>
      <c r="G156" s="42">
        <f>IF($F156="","",IF(ISNUMBER(SEARCH(",",$F156)),"Yes — checks ","Yes — check ")&amp;$F156)</f>
        <v/>
      </c>
      <c r="H156" s="53" t="n"/>
      <c r="I156" s="54" t="n"/>
      <c r="J156" s="53" t="n"/>
      <c r="K156" s="53" t="n"/>
    </row>
    <row r="157">
      <c r="A157" s="53" t="n"/>
      <c r="B157" s="53" t="n"/>
      <c r="C157" s="53" t="n"/>
      <c r="D157" s="53" t="n"/>
      <c r="E157" s="53" t="n"/>
      <c r="F157" s="53" t="n"/>
      <c r="G157" s="42">
        <f>IF($F157="","",IF(ISNUMBER(SEARCH(",",$F157)),"Yes — checks ","Yes — check ")&amp;$F157)</f>
        <v/>
      </c>
      <c r="H157" s="53" t="n"/>
      <c r="I157" s="54" t="n"/>
      <c r="J157" s="53" t="n"/>
      <c r="K157" s="53" t="n"/>
    </row>
    <row r="158">
      <c r="A158" s="53" t="n"/>
      <c r="B158" s="53" t="n"/>
      <c r="C158" s="53" t="n"/>
      <c r="D158" s="53" t="n"/>
      <c r="E158" s="53" t="n"/>
      <c r="F158" s="53" t="n"/>
      <c r="G158" s="42">
        <f>IF($F158="","",IF(ISNUMBER(SEARCH(",",$F158)),"Yes — checks ","Yes — check ")&amp;$F158)</f>
        <v/>
      </c>
      <c r="H158" s="53" t="n"/>
      <c r="I158" s="54" t="n"/>
      <c r="J158" s="53" t="n"/>
      <c r="K158" s="53" t="n"/>
    </row>
    <row r="159">
      <c r="A159" s="53" t="n"/>
      <c r="B159" s="53" t="n"/>
      <c r="C159" s="53" t="n"/>
      <c r="D159" s="53" t="n"/>
      <c r="E159" s="53" t="n"/>
      <c r="F159" s="53" t="n"/>
      <c r="G159" s="42">
        <f>IF($F159="","",IF(ISNUMBER(SEARCH(",",$F159)),"Yes — checks ","Yes — check ")&amp;$F159)</f>
        <v/>
      </c>
      <c r="H159" s="53" t="n"/>
      <c r="I159" s="54" t="n"/>
      <c r="J159" s="53" t="n"/>
      <c r="K159" s="53" t="n"/>
    </row>
    <row r="160">
      <c r="A160" s="53" t="n"/>
      <c r="B160" s="53" t="n"/>
      <c r="C160" s="53" t="n"/>
      <c r="D160" s="53" t="n"/>
      <c r="E160" s="53" t="n"/>
      <c r="F160" s="53" t="n"/>
      <c r="G160" s="42">
        <f>IF($F160="","",IF(ISNUMBER(SEARCH(",",$F160)),"Yes — checks ","Yes — check ")&amp;$F160)</f>
        <v/>
      </c>
      <c r="H160" s="53" t="n"/>
      <c r="I160" s="54" t="n"/>
      <c r="J160" s="53" t="n"/>
      <c r="K160" s="53" t="n"/>
    </row>
    <row r="161">
      <c r="A161" s="53" t="n"/>
      <c r="B161" s="53" t="n"/>
      <c r="C161" s="53" t="n"/>
      <c r="D161" s="53" t="n"/>
      <c r="E161" s="53" t="n"/>
      <c r="F161" s="53" t="n"/>
      <c r="G161" s="42">
        <f>IF($F161="","",IF(ISNUMBER(SEARCH(",",$F161)),"Yes — checks ","Yes — check ")&amp;$F161)</f>
        <v/>
      </c>
      <c r="H161" s="53" t="n"/>
      <c r="I161" s="54" t="n"/>
      <c r="J161" s="53" t="n"/>
      <c r="K161" s="53" t="n"/>
    </row>
    <row r="162">
      <c r="A162" s="53" t="n"/>
      <c r="B162" s="53" t="n"/>
      <c r="C162" s="53" t="n"/>
      <c r="D162" s="53" t="n"/>
      <c r="E162" s="53" t="n"/>
      <c r="F162" s="53" t="n"/>
      <c r="G162" s="42">
        <f>IF($F162="","",IF(ISNUMBER(SEARCH(",",$F162)),"Yes — checks ","Yes — check ")&amp;$F162)</f>
        <v/>
      </c>
      <c r="H162" s="53" t="n"/>
      <c r="I162" s="54" t="n"/>
      <c r="J162" s="53" t="n"/>
      <c r="K162" s="53" t="n"/>
    </row>
    <row r="163">
      <c r="A163" s="53" t="n"/>
      <c r="B163" s="53" t="n"/>
      <c r="C163" s="53" t="n"/>
      <c r="D163" s="53" t="n"/>
      <c r="E163" s="53" t="n"/>
      <c r="F163" s="53" t="n"/>
      <c r="G163" s="42">
        <f>IF($F163="","",IF(ISNUMBER(SEARCH(",",$F163)),"Yes — checks ","Yes — check ")&amp;$F163)</f>
        <v/>
      </c>
      <c r="H163" s="53" t="n"/>
      <c r="I163" s="54" t="n"/>
      <c r="J163" s="53" t="n"/>
      <c r="K163" s="53" t="n"/>
    </row>
    <row r="164">
      <c r="A164" s="53" t="n"/>
      <c r="B164" s="53" t="n"/>
      <c r="C164" s="53" t="n"/>
      <c r="D164" s="53" t="n"/>
      <c r="E164" s="53" t="n"/>
      <c r="F164" s="53" t="n"/>
      <c r="G164" s="42">
        <f>IF($F164="","",IF(ISNUMBER(SEARCH(",",$F164)),"Yes — checks ","Yes — check ")&amp;$F164)</f>
        <v/>
      </c>
      <c r="H164" s="53" t="n"/>
      <c r="I164" s="54" t="n"/>
      <c r="J164" s="53" t="n"/>
      <c r="K164" s="53" t="n"/>
    </row>
    <row r="165">
      <c r="A165" s="53" t="n"/>
      <c r="B165" s="53" t="n"/>
      <c r="C165" s="53" t="n"/>
      <c r="D165" s="53" t="n"/>
      <c r="E165" s="53" t="n"/>
      <c r="F165" s="53" t="n"/>
      <c r="G165" s="42">
        <f>IF($F165="","",IF(ISNUMBER(SEARCH(",",$F165)),"Yes — checks ","Yes — check ")&amp;$F165)</f>
        <v/>
      </c>
      <c r="H165" s="53" t="n"/>
      <c r="I165" s="54" t="n"/>
      <c r="J165" s="53" t="n"/>
      <c r="K165" s="53" t="n"/>
    </row>
    <row r="166">
      <c r="A166" s="53" t="n"/>
      <c r="B166" s="53" t="n"/>
      <c r="C166" s="53" t="n"/>
      <c r="D166" s="53" t="n"/>
      <c r="E166" s="53" t="n"/>
      <c r="F166" s="53" t="n"/>
      <c r="G166" s="42">
        <f>IF($F166="","",IF(ISNUMBER(SEARCH(",",$F166)),"Yes — checks ","Yes — check ")&amp;$F166)</f>
        <v/>
      </c>
      <c r="H166" s="53" t="n"/>
      <c r="I166" s="54" t="n"/>
      <c r="J166" s="53" t="n"/>
      <c r="K166" s="53" t="n"/>
    </row>
    <row r="167">
      <c r="A167" s="53" t="n"/>
      <c r="B167" s="53" t="n"/>
      <c r="C167" s="53" t="n"/>
      <c r="D167" s="53" t="n"/>
      <c r="E167" s="53" t="n"/>
      <c r="F167" s="53" t="n"/>
      <c r="G167" s="42">
        <f>IF($F167="","",IF(ISNUMBER(SEARCH(",",$F167)),"Yes — checks ","Yes — check ")&amp;$F167)</f>
        <v/>
      </c>
      <c r="H167" s="53" t="n"/>
      <c r="I167" s="54" t="n"/>
      <c r="J167" s="53" t="n"/>
      <c r="K167" s="53" t="n"/>
    </row>
    <row r="168">
      <c r="A168" s="53" t="n"/>
      <c r="B168" s="53" t="n"/>
      <c r="C168" s="53" t="n"/>
      <c r="D168" s="53" t="n"/>
      <c r="E168" s="53" t="n"/>
      <c r="F168" s="53" t="n"/>
      <c r="G168" s="42">
        <f>IF($F168="","",IF(ISNUMBER(SEARCH(",",$F168)),"Yes — checks ","Yes — check ")&amp;$F168)</f>
        <v/>
      </c>
      <c r="H168" s="53" t="n"/>
      <c r="I168" s="54" t="n"/>
      <c r="J168" s="53" t="n"/>
      <c r="K168" s="53" t="n"/>
    </row>
    <row r="169">
      <c r="A169" s="53" t="n"/>
      <c r="B169" s="53" t="n"/>
      <c r="C169" s="53" t="n"/>
      <c r="D169" s="53" t="n"/>
      <c r="E169" s="53" t="n"/>
      <c r="F169" s="53" t="n"/>
      <c r="G169" s="42">
        <f>IF($F169="","",IF(ISNUMBER(SEARCH(",",$F169)),"Yes — checks ","Yes — check ")&amp;$F169)</f>
        <v/>
      </c>
      <c r="H169" s="53" t="n"/>
      <c r="I169" s="54" t="n"/>
      <c r="J169" s="53" t="n"/>
      <c r="K169" s="53" t="n"/>
    </row>
    <row r="170">
      <c r="A170" s="53" t="n"/>
      <c r="B170" s="53" t="n"/>
      <c r="C170" s="53" t="n"/>
      <c r="D170" s="53" t="n"/>
      <c r="E170" s="53" t="n"/>
      <c r="F170" s="53" t="n"/>
      <c r="G170" s="42">
        <f>IF($F170="","",IF(ISNUMBER(SEARCH(",",$F170)),"Yes — checks ","Yes — check ")&amp;$F170)</f>
        <v/>
      </c>
      <c r="H170" s="53" t="n"/>
      <c r="I170" s="54" t="n"/>
      <c r="J170" s="53" t="n"/>
      <c r="K170" s="53" t="n"/>
    </row>
    <row r="171">
      <c r="A171" s="53" t="n"/>
      <c r="B171" s="53" t="n"/>
      <c r="C171" s="53" t="n"/>
      <c r="D171" s="53" t="n"/>
      <c r="E171" s="53" t="n"/>
      <c r="F171" s="53" t="n"/>
      <c r="G171" s="42">
        <f>IF($F171="","",IF(ISNUMBER(SEARCH(",",$F171)),"Yes — checks ","Yes — check ")&amp;$F171)</f>
        <v/>
      </c>
      <c r="H171" s="53" t="n"/>
      <c r="I171" s="54" t="n"/>
      <c r="J171" s="53" t="n"/>
      <c r="K171" s="53" t="n"/>
    </row>
    <row r="172">
      <c r="A172" s="53" t="n"/>
      <c r="B172" s="53" t="n"/>
      <c r="C172" s="53" t="n"/>
      <c r="D172" s="53" t="n"/>
      <c r="E172" s="53" t="n"/>
      <c r="F172" s="53" t="n"/>
      <c r="G172" s="42">
        <f>IF($F172="","",IF(ISNUMBER(SEARCH(",",$F172)),"Yes — checks ","Yes — check ")&amp;$F172)</f>
        <v/>
      </c>
      <c r="H172" s="53" t="n"/>
      <c r="I172" s="54" t="n"/>
      <c r="J172" s="53" t="n"/>
      <c r="K172" s="53" t="n"/>
    </row>
    <row r="173">
      <c r="A173" s="53" t="n"/>
      <c r="B173" s="53" t="n"/>
      <c r="C173" s="53" t="n"/>
      <c r="D173" s="53" t="n"/>
      <c r="E173" s="53" t="n"/>
      <c r="F173" s="53" t="n"/>
      <c r="G173" s="42">
        <f>IF($F173="","",IF(ISNUMBER(SEARCH(",",$F173)),"Yes — checks ","Yes — check ")&amp;$F173)</f>
        <v/>
      </c>
      <c r="H173" s="53" t="n"/>
      <c r="I173" s="54" t="n"/>
      <c r="J173" s="53" t="n"/>
      <c r="K173" s="53" t="n"/>
    </row>
    <row r="174">
      <c r="A174" s="53" t="n"/>
      <c r="B174" s="53" t="n"/>
      <c r="C174" s="53" t="n"/>
      <c r="D174" s="53" t="n"/>
      <c r="E174" s="53" t="n"/>
      <c r="F174" s="53" t="n"/>
      <c r="G174" s="42">
        <f>IF($F174="","",IF(ISNUMBER(SEARCH(",",$F174)),"Yes — checks ","Yes — check ")&amp;$F174)</f>
        <v/>
      </c>
      <c r="H174" s="53" t="n"/>
      <c r="I174" s="54" t="n"/>
      <c r="J174" s="53" t="n"/>
      <c r="K174" s="53" t="n"/>
    </row>
    <row r="175">
      <c r="A175" s="53" t="n"/>
      <c r="B175" s="53" t="n"/>
      <c r="C175" s="53" t="n"/>
      <c r="D175" s="53" t="n"/>
      <c r="E175" s="53" t="n"/>
      <c r="F175" s="53" t="n"/>
      <c r="G175" s="42">
        <f>IF($F175="","",IF(ISNUMBER(SEARCH(",",$F175)),"Yes — checks ","Yes — check ")&amp;$F175)</f>
        <v/>
      </c>
      <c r="H175" s="53" t="n"/>
      <c r="I175" s="54" t="n"/>
      <c r="J175" s="53" t="n"/>
      <c r="K175" s="53" t="n"/>
    </row>
    <row r="176">
      <c r="A176" s="53" t="n"/>
      <c r="B176" s="53" t="n"/>
      <c r="C176" s="53" t="n"/>
      <c r="D176" s="53" t="n"/>
      <c r="E176" s="53" t="n"/>
      <c r="F176" s="53" t="n"/>
      <c r="G176" s="42">
        <f>IF($F176="","",IF(ISNUMBER(SEARCH(",",$F176)),"Yes — checks ","Yes — check ")&amp;$F176)</f>
        <v/>
      </c>
      <c r="H176" s="53" t="n"/>
      <c r="I176" s="54" t="n"/>
      <c r="J176" s="53" t="n"/>
      <c r="K176" s="53" t="n"/>
    </row>
    <row r="177">
      <c r="A177" s="53" t="n"/>
      <c r="B177" s="53" t="n"/>
      <c r="C177" s="53" t="n"/>
      <c r="D177" s="53" t="n"/>
      <c r="E177" s="53" t="n"/>
      <c r="F177" s="53" t="n"/>
      <c r="G177" s="42">
        <f>IF($F177="","",IF(ISNUMBER(SEARCH(",",$F177)),"Yes — checks ","Yes — check ")&amp;$F177)</f>
        <v/>
      </c>
      <c r="H177" s="53" t="n"/>
      <c r="I177" s="54" t="n"/>
      <c r="J177" s="53" t="n"/>
      <c r="K177" s="53" t="n"/>
    </row>
    <row r="178">
      <c r="A178" s="53" t="n"/>
      <c r="B178" s="53" t="n"/>
      <c r="C178" s="53" t="n"/>
      <c r="D178" s="53" t="n"/>
      <c r="E178" s="53" t="n"/>
      <c r="F178" s="53" t="n"/>
      <c r="G178" s="42">
        <f>IF($F178="","",IF(ISNUMBER(SEARCH(",",$F178)),"Yes — checks ","Yes — check ")&amp;$F178)</f>
        <v/>
      </c>
      <c r="H178" s="53" t="n"/>
      <c r="I178" s="54" t="n"/>
      <c r="J178" s="53" t="n"/>
      <c r="K178" s="53" t="n"/>
    </row>
    <row r="179">
      <c r="A179" s="53" t="n"/>
      <c r="B179" s="53" t="n"/>
      <c r="C179" s="53" t="n"/>
      <c r="D179" s="53" t="n"/>
      <c r="E179" s="53" t="n"/>
      <c r="F179" s="53" t="n"/>
      <c r="G179" s="42">
        <f>IF($F179="","",IF(ISNUMBER(SEARCH(",",$F179)),"Yes — checks ","Yes — check ")&amp;$F179)</f>
        <v/>
      </c>
      <c r="H179" s="53" t="n"/>
      <c r="I179" s="54" t="n"/>
      <c r="J179" s="53" t="n"/>
      <c r="K179" s="53" t="n"/>
    </row>
    <row r="180">
      <c r="A180" s="53" t="n"/>
      <c r="B180" s="53" t="n"/>
      <c r="C180" s="53" t="n"/>
      <c r="D180" s="53" t="n"/>
      <c r="E180" s="53" t="n"/>
      <c r="F180" s="53" t="n"/>
      <c r="G180" s="42">
        <f>IF($F180="","",IF(ISNUMBER(SEARCH(",",$F180)),"Yes — checks ","Yes — check ")&amp;$F180)</f>
        <v/>
      </c>
      <c r="H180" s="53" t="n"/>
      <c r="I180" s="54" t="n"/>
      <c r="J180" s="53" t="n"/>
      <c r="K180" s="53" t="n"/>
    </row>
    <row r="181">
      <c r="A181" s="53" t="n"/>
      <c r="B181" s="53" t="n"/>
      <c r="C181" s="53" t="n"/>
      <c r="D181" s="53" t="n"/>
      <c r="E181" s="53" t="n"/>
      <c r="F181" s="53" t="n"/>
      <c r="G181" s="42">
        <f>IF($F181="","",IF(ISNUMBER(SEARCH(",",$F181)),"Yes — checks ","Yes — check ")&amp;$F181)</f>
        <v/>
      </c>
      <c r="H181" s="53" t="n"/>
      <c r="I181" s="54" t="n"/>
      <c r="J181" s="53" t="n"/>
      <c r="K181" s="53" t="n"/>
    </row>
    <row r="182">
      <c r="A182" s="53" t="n"/>
      <c r="B182" s="53" t="n"/>
      <c r="C182" s="53" t="n"/>
      <c r="D182" s="53" t="n"/>
      <c r="E182" s="53" t="n"/>
      <c r="F182" s="53" t="n"/>
      <c r="G182" s="42">
        <f>IF($F182="","",IF(ISNUMBER(SEARCH(",",$F182)),"Yes — checks ","Yes — check ")&amp;$F182)</f>
        <v/>
      </c>
      <c r="H182" s="53" t="n"/>
      <c r="I182" s="54" t="n"/>
      <c r="J182" s="53" t="n"/>
      <c r="K182" s="53" t="n"/>
    </row>
    <row r="183">
      <c r="A183" s="53" t="n"/>
      <c r="B183" s="53" t="n"/>
      <c r="C183" s="53" t="n"/>
      <c r="D183" s="53" t="n"/>
      <c r="E183" s="53" t="n"/>
      <c r="F183" s="53" t="n"/>
      <c r="G183" s="42">
        <f>IF($F183="","",IF(ISNUMBER(SEARCH(",",$F183)),"Yes — checks ","Yes — check ")&amp;$F183)</f>
        <v/>
      </c>
      <c r="H183" s="53" t="n"/>
      <c r="I183" s="54" t="n"/>
      <c r="J183" s="53" t="n"/>
      <c r="K183" s="53" t="n"/>
    </row>
    <row r="184">
      <c r="A184" s="53" t="n"/>
      <c r="B184" s="53" t="n"/>
      <c r="C184" s="53" t="n"/>
      <c r="D184" s="53" t="n"/>
      <c r="E184" s="53" t="n"/>
      <c r="F184" s="53" t="n"/>
      <c r="G184" s="42">
        <f>IF($F184="","",IF(ISNUMBER(SEARCH(",",$F184)),"Yes — checks ","Yes — check ")&amp;$F184)</f>
        <v/>
      </c>
      <c r="H184" s="53" t="n"/>
      <c r="I184" s="54" t="n"/>
      <c r="J184" s="53" t="n"/>
      <c r="K184" s="53" t="n"/>
    </row>
    <row r="185">
      <c r="A185" s="53" t="n"/>
      <c r="B185" s="53" t="n"/>
      <c r="C185" s="53" t="n"/>
      <c r="D185" s="53" t="n"/>
      <c r="E185" s="53" t="n"/>
      <c r="F185" s="53" t="n"/>
      <c r="G185" s="42">
        <f>IF($F185="","",IF(ISNUMBER(SEARCH(",",$F185)),"Yes — checks ","Yes — check ")&amp;$F185)</f>
        <v/>
      </c>
      <c r="H185" s="53" t="n"/>
      <c r="I185" s="54" t="n"/>
      <c r="J185" s="53" t="n"/>
      <c r="K185" s="53" t="n"/>
    </row>
    <row r="186">
      <c r="A186" s="53" t="n"/>
      <c r="B186" s="53" t="n"/>
      <c r="C186" s="53" t="n"/>
      <c r="D186" s="53" t="n"/>
      <c r="E186" s="53" t="n"/>
      <c r="F186" s="53" t="n"/>
      <c r="G186" s="42">
        <f>IF($F186="","",IF(ISNUMBER(SEARCH(",",$F186)),"Yes — checks ","Yes — check ")&amp;$F186)</f>
        <v/>
      </c>
      <c r="H186" s="53" t="n"/>
      <c r="I186" s="54" t="n"/>
      <c r="J186" s="53" t="n"/>
      <c r="K186" s="53" t="n"/>
    </row>
    <row r="187">
      <c r="A187" s="53" t="n"/>
      <c r="B187" s="53" t="n"/>
      <c r="C187" s="53" t="n"/>
      <c r="D187" s="53" t="n"/>
      <c r="E187" s="53" t="n"/>
      <c r="F187" s="53" t="n"/>
      <c r="G187" s="42">
        <f>IF($F187="","",IF(ISNUMBER(SEARCH(",",$F187)),"Yes — checks ","Yes — check ")&amp;$F187)</f>
        <v/>
      </c>
      <c r="H187" s="53" t="n"/>
      <c r="I187" s="54" t="n"/>
      <c r="J187" s="53" t="n"/>
      <c r="K187" s="53" t="n"/>
    </row>
    <row r="188">
      <c r="A188" s="53" t="n"/>
      <c r="B188" s="53" t="n"/>
      <c r="C188" s="53" t="n"/>
      <c r="D188" s="53" t="n"/>
      <c r="E188" s="53" t="n"/>
      <c r="F188" s="53" t="n"/>
      <c r="G188" s="42">
        <f>IF($F188="","",IF(ISNUMBER(SEARCH(",",$F188)),"Yes — checks ","Yes — check ")&amp;$F188)</f>
        <v/>
      </c>
      <c r="H188" s="53" t="n"/>
      <c r="I188" s="54" t="n"/>
      <c r="J188" s="53" t="n"/>
      <c r="K188" s="53" t="n"/>
    </row>
    <row r="189">
      <c r="A189" s="53" t="n"/>
      <c r="B189" s="53" t="n"/>
      <c r="C189" s="53" t="n"/>
      <c r="D189" s="53" t="n"/>
      <c r="E189" s="53" t="n"/>
      <c r="F189" s="53" t="n"/>
      <c r="G189" s="42">
        <f>IF($F189="","",IF(ISNUMBER(SEARCH(",",$F189)),"Yes — checks ","Yes — check ")&amp;$F189)</f>
        <v/>
      </c>
      <c r="H189" s="53" t="n"/>
      <c r="I189" s="54" t="n"/>
      <c r="J189" s="53" t="n"/>
      <c r="K189" s="53" t="n"/>
    </row>
    <row r="190">
      <c r="A190" s="53" t="n"/>
      <c r="B190" s="53" t="n"/>
      <c r="C190" s="53" t="n"/>
      <c r="D190" s="53" t="n"/>
      <c r="E190" s="53" t="n"/>
      <c r="F190" s="53" t="n"/>
      <c r="G190" s="42">
        <f>IF($F190="","",IF(ISNUMBER(SEARCH(",",$F190)),"Yes — checks ","Yes — check ")&amp;$F190)</f>
        <v/>
      </c>
      <c r="H190" s="53" t="n"/>
      <c r="I190" s="54" t="n"/>
      <c r="J190" s="53" t="n"/>
      <c r="K190" s="53" t="n"/>
    </row>
    <row r="191">
      <c r="A191" s="53" t="n"/>
      <c r="B191" s="53" t="n"/>
      <c r="C191" s="53" t="n"/>
      <c r="D191" s="53" t="n"/>
      <c r="E191" s="53" t="n"/>
      <c r="F191" s="53" t="n"/>
      <c r="G191" s="42">
        <f>IF($F191="","",IF(ISNUMBER(SEARCH(",",$F191)),"Yes — checks ","Yes — check ")&amp;$F191)</f>
        <v/>
      </c>
      <c r="H191" s="53" t="n"/>
      <c r="I191" s="54" t="n"/>
      <c r="J191" s="53" t="n"/>
      <c r="K191" s="53" t="n"/>
    </row>
    <row r="192">
      <c r="A192" s="53" t="n"/>
      <c r="B192" s="53" t="n"/>
      <c r="C192" s="53" t="n"/>
      <c r="D192" s="53" t="n"/>
      <c r="E192" s="53" t="n"/>
      <c r="F192" s="53" t="n"/>
      <c r="G192" s="42">
        <f>IF($F192="","",IF(ISNUMBER(SEARCH(",",$F192)),"Yes — checks ","Yes — check ")&amp;$F192)</f>
        <v/>
      </c>
      <c r="H192" s="53" t="n"/>
      <c r="I192" s="54" t="n"/>
      <c r="J192" s="53" t="n"/>
      <c r="K192" s="53" t="n"/>
    </row>
    <row r="193">
      <c r="A193" s="53" t="n"/>
      <c r="B193" s="53" t="n"/>
      <c r="C193" s="53" t="n"/>
      <c r="D193" s="53" t="n"/>
      <c r="E193" s="53" t="n"/>
      <c r="F193" s="53" t="n"/>
      <c r="G193" s="42">
        <f>IF($F193="","",IF(ISNUMBER(SEARCH(",",$F193)),"Yes — checks ","Yes — check ")&amp;$F193)</f>
        <v/>
      </c>
      <c r="H193" s="53" t="n"/>
      <c r="I193" s="54" t="n"/>
      <c r="J193" s="53" t="n"/>
      <c r="K193" s="53" t="n"/>
    </row>
    <row r="194">
      <c r="A194" s="53" t="n"/>
      <c r="B194" s="53" t="n"/>
      <c r="C194" s="53" t="n"/>
      <c r="D194" s="53" t="n"/>
      <c r="E194" s="53" t="n"/>
      <c r="F194" s="53" t="n"/>
      <c r="G194" s="42">
        <f>IF($F194="","",IF(ISNUMBER(SEARCH(",",$F194)),"Yes — checks ","Yes — check ")&amp;$F194)</f>
        <v/>
      </c>
      <c r="H194" s="53" t="n"/>
      <c r="I194" s="54" t="n"/>
      <c r="J194" s="53" t="n"/>
      <c r="K194" s="53" t="n"/>
    </row>
    <row r="195">
      <c r="A195" s="53" t="n"/>
      <c r="B195" s="53" t="n"/>
      <c r="C195" s="53" t="n"/>
      <c r="D195" s="53" t="n"/>
      <c r="E195" s="53" t="n"/>
      <c r="F195" s="53" t="n"/>
      <c r="G195" s="42">
        <f>IF($F195="","",IF(ISNUMBER(SEARCH(",",$F195)),"Yes — checks ","Yes — check ")&amp;$F195)</f>
        <v/>
      </c>
      <c r="H195" s="53" t="n"/>
      <c r="I195" s="54" t="n"/>
      <c r="J195" s="53" t="n"/>
      <c r="K195" s="53" t="n"/>
    </row>
    <row r="196">
      <c r="A196" s="53" t="n"/>
      <c r="B196" s="53" t="n"/>
      <c r="C196" s="53" t="n"/>
      <c r="D196" s="53" t="n"/>
      <c r="E196" s="53" t="n"/>
      <c r="F196" s="53" t="n"/>
      <c r="G196" s="42">
        <f>IF($F196="","",IF(ISNUMBER(SEARCH(",",$F196)),"Yes — checks ","Yes — check ")&amp;$F196)</f>
        <v/>
      </c>
      <c r="H196" s="53" t="n"/>
      <c r="I196" s="54" t="n"/>
      <c r="J196" s="53" t="n"/>
      <c r="K196" s="53" t="n"/>
    </row>
    <row r="197">
      <c r="A197" s="53" t="n"/>
      <c r="B197" s="53" t="n"/>
      <c r="C197" s="53" t="n"/>
      <c r="D197" s="53" t="n"/>
      <c r="E197" s="53" t="n"/>
      <c r="F197" s="53" t="n"/>
      <c r="G197" s="42">
        <f>IF($F197="","",IF(ISNUMBER(SEARCH(",",$F197)),"Yes — checks ","Yes — check ")&amp;$F197)</f>
        <v/>
      </c>
      <c r="H197" s="53" t="n"/>
      <c r="I197" s="54" t="n"/>
      <c r="J197" s="53" t="n"/>
      <c r="K197" s="53" t="n"/>
    </row>
    <row r="198">
      <c r="A198" s="53" t="n"/>
      <c r="B198" s="53" t="n"/>
      <c r="C198" s="53" t="n"/>
      <c r="D198" s="53" t="n"/>
      <c r="E198" s="53" t="n"/>
      <c r="F198" s="53" t="n"/>
      <c r="G198" s="42">
        <f>IF($F198="","",IF(ISNUMBER(SEARCH(",",$F198)),"Yes — checks ","Yes — check ")&amp;$F198)</f>
        <v/>
      </c>
      <c r="H198" s="53" t="n"/>
      <c r="I198" s="54" t="n"/>
      <c r="J198" s="53" t="n"/>
      <c r="K198" s="53" t="n"/>
    </row>
    <row r="199">
      <c r="A199" s="53" t="n"/>
      <c r="B199" s="53" t="n"/>
      <c r="C199" s="53" t="n"/>
      <c r="D199" s="53" t="n"/>
      <c r="E199" s="53" t="n"/>
      <c r="F199" s="53" t="n"/>
      <c r="G199" s="42">
        <f>IF($F199="","",IF(ISNUMBER(SEARCH(",",$F199)),"Yes — checks ","Yes — check ")&amp;$F199)</f>
        <v/>
      </c>
      <c r="H199" s="53" t="n"/>
      <c r="I199" s="54" t="n"/>
      <c r="J199" s="53" t="n"/>
      <c r="K199" s="53" t="n"/>
    </row>
    <row r="200">
      <c r="A200" s="53" t="n"/>
      <c r="B200" s="53" t="n"/>
      <c r="C200" s="53" t="n"/>
      <c r="D200" s="53" t="n"/>
      <c r="E200" s="53" t="n"/>
      <c r="F200" s="53" t="n"/>
      <c r="G200" s="42">
        <f>IF($F200="","",IF(ISNUMBER(SEARCH(",",$F200)),"Yes — checks ","Yes — check ")&amp;$F200)</f>
        <v/>
      </c>
      <c r="H200" s="53" t="n"/>
      <c r="I200" s="54" t="n"/>
      <c r="J200" s="53" t="n"/>
      <c r="K200" s="53" t="n"/>
    </row>
    <row r="201">
      <c r="A201" s="53" t="n"/>
      <c r="B201" s="53" t="n"/>
      <c r="C201" s="53" t="n"/>
      <c r="D201" s="53" t="n"/>
      <c r="E201" s="53" t="n"/>
      <c r="F201" s="53" t="n"/>
      <c r="G201" s="42">
        <f>IF($F201="","",IF(ISNUMBER(SEARCH(",",$F201)),"Yes — checks ","Yes — check ")&amp;$F201)</f>
        <v/>
      </c>
      <c r="H201" s="53" t="n"/>
      <c r="I201" s="54" t="n"/>
      <c r="J201" s="53" t="n"/>
      <c r="K201" s="53" t="n"/>
    </row>
    <row r="202">
      <c r="A202" s="53" t="n"/>
      <c r="B202" s="53" t="n"/>
      <c r="C202" s="53" t="n"/>
      <c r="D202" s="53" t="n"/>
      <c r="E202" s="53" t="n"/>
      <c r="F202" s="53" t="n"/>
      <c r="G202" s="42">
        <f>IF($F202="","",IF(ISNUMBER(SEARCH(",",$F202)),"Yes — checks ","Yes — check ")&amp;$F202)</f>
        <v/>
      </c>
      <c r="H202" s="53" t="n"/>
      <c r="I202" s="54" t="n"/>
      <c r="J202" s="53" t="n"/>
      <c r="K202" s="53" t="n"/>
    </row>
    <row r="203">
      <c r="A203" s="53" t="n"/>
      <c r="B203" s="53" t="n"/>
      <c r="C203" s="53" t="n"/>
      <c r="D203" s="53" t="n"/>
      <c r="E203" s="53" t="n"/>
      <c r="F203" s="53" t="n"/>
      <c r="G203" s="42">
        <f>IF($F203="","",IF(ISNUMBER(SEARCH(",",$F203)),"Yes — checks ","Yes — check ")&amp;$F203)</f>
        <v/>
      </c>
      <c r="H203" s="53" t="n"/>
      <c r="I203" s="54" t="n"/>
      <c r="J203" s="53" t="n"/>
      <c r="K203" s="53" t="n"/>
    </row>
    <row r="204">
      <c r="A204" s="53" t="n"/>
      <c r="B204" s="53" t="n"/>
      <c r="C204" s="53" t="n"/>
      <c r="D204" s="53" t="n"/>
      <c r="E204" s="53" t="n"/>
      <c r="F204" s="53" t="n"/>
      <c r="G204" s="42">
        <f>IF($F204="","",IF(ISNUMBER(SEARCH(",",$F204)),"Yes — checks ","Yes — check ")&amp;$F204)</f>
        <v/>
      </c>
      <c r="H204" s="53" t="n"/>
      <c r="I204" s="54" t="n"/>
      <c r="J204" s="53" t="n"/>
      <c r="K204" s="53" t="n"/>
    </row>
    <row r="205">
      <c r="A205" s="53" t="n"/>
      <c r="B205" s="53" t="n"/>
      <c r="C205" s="53" t="n"/>
      <c r="D205" s="53" t="n"/>
      <c r="E205" s="53" t="n"/>
      <c r="F205" s="53" t="n"/>
      <c r="G205" s="42">
        <f>IF($F205="","",IF(ISNUMBER(SEARCH(",",$F205)),"Yes — checks ","Yes — check ")&amp;$F205)</f>
        <v/>
      </c>
      <c r="H205" s="53" t="n"/>
      <c r="I205" s="54" t="n"/>
      <c r="J205" s="53" t="n"/>
      <c r="K205" s="53" t="n"/>
    </row>
    <row r="206">
      <c r="A206" s="53" t="n"/>
      <c r="B206" s="53" t="n"/>
      <c r="C206" s="53" t="n"/>
      <c r="D206" s="53" t="n"/>
      <c r="E206" s="53" t="n"/>
      <c r="F206" s="53" t="n"/>
      <c r="G206" s="42">
        <f>IF($F206="","",IF(ISNUMBER(SEARCH(",",$F206)),"Yes — checks ","Yes — check ")&amp;$F206)</f>
        <v/>
      </c>
      <c r="H206" s="53" t="n"/>
      <c r="I206" s="54" t="n"/>
      <c r="J206" s="53" t="n"/>
      <c r="K206" s="53" t="n"/>
    </row>
    <row r="207">
      <c r="A207" s="53" t="n"/>
      <c r="B207" s="53" t="n"/>
      <c r="C207" s="53" t="n"/>
      <c r="D207" s="53" t="n"/>
      <c r="E207" s="53" t="n"/>
      <c r="F207" s="53" t="n"/>
      <c r="G207" s="42">
        <f>IF($F207="","",IF(ISNUMBER(SEARCH(",",$F207)),"Yes — checks ","Yes — check ")&amp;$F207)</f>
        <v/>
      </c>
      <c r="H207" s="53" t="n"/>
      <c r="I207" s="54" t="n"/>
      <c r="J207" s="53" t="n"/>
      <c r="K207" s="53" t="n"/>
    </row>
    <row r="208">
      <c r="A208" s="53" t="n"/>
      <c r="B208" s="53" t="n"/>
      <c r="C208" s="53" t="n"/>
      <c r="D208" s="53" t="n"/>
      <c r="E208" s="53" t="n"/>
      <c r="F208" s="53" t="n"/>
      <c r="G208" s="42">
        <f>IF($F208="","",IF(ISNUMBER(SEARCH(",",$F208)),"Yes — checks ","Yes — check ")&amp;$F208)</f>
        <v/>
      </c>
      <c r="H208" s="53" t="n"/>
      <c r="I208" s="54" t="n"/>
      <c r="J208" s="53" t="n"/>
      <c r="K208" s="53" t="n"/>
    </row>
    <row r="209">
      <c r="A209" s="53" t="n"/>
      <c r="B209" s="53" t="n"/>
      <c r="C209" s="53" t="n"/>
      <c r="D209" s="53" t="n"/>
      <c r="E209" s="53" t="n"/>
      <c r="F209" s="53" t="n"/>
      <c r="G209" s="42">
        <f>IF($F209="","",IF(ISNUMBER(SEARCH(",",$F209)),"Yes — checks ","Yes — check ")&amp;$F209)</f>
        <v/>
      </c>
      <c r="H209" s="53" t="n"/>
      <c r="I209" s="54" t="n"/>
      <c r="J209" s="53" t="n"/>
      <c r="K209" s="53" t="n"/>
    </row>
    <row r="210">
      <c r="A210" s="53" t="n"/>
      <c r="B210" s="53" t="n"/>
      <c r="C210" s="53" t="n"/>
      <c r="D210" s="53" t="n"/>
      <c r="E210" s="53" t="n"/>
      <c r="F210" s="53" t="n"/>
      <c r="G210" s="42">
        <f>IF($F210="","",IF(ISNUMBER(SEARCH(",",$F210)),"Yes — checks ","Yes — check ")&amp;$F210)</f>
        <v/>
      </c>
      <c r="H210" s="53" t="n"/>
      <c r="I210" s="54" t="n"/>
      <c r="J210" s="53" t="n"/>
      <c r="K210" s="53" t="n"/>
    </row>
    <row r="211">
      <c r="A211" s="53" t="n"/>
      <c r="B211" s="53" t="n"/>
      <c r="C211" s="53" t="n"/>
      <c r="D211" s="53" t="n"/>
      <c r="E211" s="53" t="n"/>
      <c r="F211" s="53" t="n"/>
      <c r="G211" s="42">
        <f>IF($F211="","",IF(ISNUMBER(SEARCH(",",$F211)),"Yes — checks ","Yes — check ")&amp;$F211)</f>
        <v/>
      </c>
      <c r="H211" s="53" t="n"/>
      <c r="I211" s="54" t="n"/>
      <c r="J211" s="53" t="n"/>
      <c r="K211" s="53" t="n"/>
    </row>
    <row r="212">
      <c r="A212" s="53" t="n"/>
      <c r="B212" s="53" t="n"/>
      <c r="C212" s="53" t="n"/>
      <c r="D212" s="53" t="n"/>
      <c r="E212" s="53" t="n"/>
      <c r="F212" s="53" t="n"/>
      <c r="G212" s="42">
        <f>IF($F212="","",IF(ISNUMBER(SEARCH(",",$F212)),"Yes — checks ","Yes — check ")&amp;$F212)</f>
        <v/>
      </c>
      <c r="H212" s="53" t="n"/>
      <c r="I212" s="54" t="n"/>
      <c r="J212" s="53" t="n"/>
      <c r="K212" s="53" t="n"/>
    </row>
    <row r="213">
      <c r="A213" s="53" t="n"/>
      <c r="B213" s="53" t="n"/>
      <c r="C213" s="53" t="n"/>
      <c r="D213" s="53" t="n"/>
      <c r="E213" s="53" t="n"/>
      <c r="F213" s="53" t="n"/>
      <c r="G213" s="42">
        <f>IF($F213="","",IF(ISNUMBER(SEARCH(",",$F213)),"Yes — checks ","Yes — check ")&amp;$F213)</f>
        <v/>
      </c>
      <c r="H213" s="53" t="n"/>
      <c r="I213" s="54" t="n"/>
      <c r="J213" s="53" t="n"/>
      <c r="K213" s="53" t="n"/>
    </row>
    <row r="214">
      <c r="A214" s="53" t="n"/>
      <c r="B214" s="53" t="n"/>
      <c r="C214" s="53" t="n"/>
      <c r="D214" s="53" t="n"/>
      <c r="E214" s="53" t="n"/>
      <c r="F214" s="53" t="n"/>
      <c r="G214" s="42">
        <f>IF($F214="","",IF(ISNUMBER(SEARCH(",",$F214)),"Yes — checks ","Yes — check ")&amp;$F214)</f>
        <v/>
      </c>
      <c r="H214" s="53" t="n"/>
      <c r="I214" s="54" t="n"/>
      <c r="J214" s="53" t="n"/>
      <c r="K214" s="53" t="n"/>
    </row>
    <row r="215">
      <c r="A215" s="53" t="n"/>
      <c r="B215" s="53" t="n"/>
      <c r="C215" s="53" t="n"/>
      <c r="D215" s="53" t="n"/>
      <c r="E215" s="53" t="n"/>
      <c r="F215" s="53" t="n"/>
      <c r="G215" s="42">
        <f>IF($F215="","",IF(ISNUMBER(SEARCH(",",$F215)),"Yes — checks ","Yes — check ")&amp;$F215)</f>
        <v/>
      </c>
      <c r="H215" s="53" t="n"/>
      <c r="I215" s="54" t="n"/>
      <c r="J215" s="53" t="n"/>
      <c r="K215" s="53" t="n"/>
    </row>
    <row r="216">
      <c r="A216" s="53" t="n"/>
      <c r="B216" s="53" t="n"/>
      <c r="C216" s="53" t="n"/>
      <c r="D216" s="53" t="n"/>
      <c r="E216" s="53" t="n"/>
      <c r="F216" s="53" t="n"/>
      <c r="G216" s="42">
        <f>IF($F216="","",IF(ISNUMBER(SEARCH(",",$F216)),"Yes — checks ","Yes — check ")&amp;$F216)</f>
        <v/>
      </c>
      <c r="H216" s="53" t="n"/>
      <c r="I216" s="54" t="n"/>
      <c r="J216" s="53" t="n"/>
      <c r="K216" s="53" t="n"/>
    </row>
    <row r="217">
      <c r="A217" s="53" t="n"/>
      <c r="B217" s="53" t="n"/>
      <c r="C217" s="53" t="n"/>
      <c r="D217" s="53" t="n"/>
      <c r="E217" s="53" t="n"/>
      <c r="F217" s="53" t="n"/>
      <c r="G217" s="42">
        <f>IF($F217="","",IF(ISNUMBER(SEARCH(",",$F217)),"Yes — checks ","Yes — check ")&amp;$F217)</f>
        <v/>
      </c>
      <c r="H217" s="53" t="n"/>
      <c r="I217" s="54" t="n"/>
      <c r="J217" s="53" t="n"/>
      <c r="K217" s="53" t="n"/>
    </row>
    <row r="218">
      <c r="A218" s="53" t="n"/>
      <c r="B218" s="53" t="n"/>
      <c r="C218" s="53" t="n"/>
      <c r="D218" s="53" t="n"/>
      <c r="E218" s="53" t="n"/>
      <c r="F218" s="53" t="n"/>
      <c r="G218" s="42">
        <f>IF($F218="","",IF(ISNUMBER(SEARCH(",",$F218)),"Yes — checks ","Yes — check ")&amp;$F218)</f>
        <v/>
      </c>
      <c r="H218" s="53" t="n"/>
      <c r="I218" s="54" t="n"/>
      <c r="J218" s="53" t="n"/>
      <c r="K218" s="53" t="n"/>
    </row>
    <row r="219">
      <c r="A219" s="53" t="n"/>
      <c r="B219" s="53" t="n"/>
      <c r="C219" s="53" t="n"/>
      <c r="D219" s="53" t="n"/>
      <c r="E219" s="53" t="n"/>
      <c r="F219" s="53" t="n"/>
      <c r="G219" s="42">
        <f>IF($F219="","",IF(ISNUMBER(SEARCH(",",$F219)),"Yes — checks ","Yes — check ")&amp;$F219)</f>
        <v/>
      </c>
      <c r="H219" s="53" t="n"/>
      <c r="I219" s="54" t="n"/>
      <c r="J219" s="53" t="n"/>
      <c r="K219" s="53" t="n"/>
    </row>
    <row r="220">
      <c r="A220" s="53" t="n"/>
      <c r="B220" s="53" t="n"/>
      <c r="C220" s="53" t="n"/>
      <c r="D220" s="53" t="n"/>
      <c r="E220" s="53" t="n"/>
      <c r="F220" s="53" t="n"/>
      <c r="G220" s="42">
        <f>IF($F220="","",IF(ISNUMBER(SEARCH(",",$F220)),"Yes — checks ","Yes — check ")&amp;$F220)</f>
        <v/>
      </c>
      <c r="H220" s="53" t="n"/>
      <c r="I220" s="54" t="n"/>
      <c r="J220" s="53" t="n"/>
      <c r="K220" s="53" t="n"/>
    </row>
    <row r="221">
      <c r="A221" s="53" t="n"/>
      <c r="B221" s="53" t="n"/>
      <c r="C221" s="53" t="n"/>
      <c r="D221" s="53" t="n"/>
      <c r="E221" s="53" t="n"/>
      <c r="F221" s="53" t="n"/>
      <c r="G221" s="42">
        <f>IF($F221="","",IF(ISNUMBER(SEARCH(",",$F221)),"Yes — checks ","Yes — check ")&amp;$F221)</f>
        <v/>
      </c>
      <c r="H221" s="53" t="n"/>
      <c r="I221" s="54" t="n"/>
      <c r="J221" s="53" t="n"/>
      <c r="K221" s="53" t="n"/>
    </row>
    <row r="222">
      <c r="A222" s="53" t="n"/>
      <c r="B222" s="53" t="n"/>
      <c r="C222" s="53" t="n"/>
      <c r="D222" s="53" t="n"/>
      <c r="E222" s="53" t="n"/>
      <c r="F222" s="53" t="n"/>
      <c r="G222" s="42">
        <f>IF($F222="","",IF(ISNUMBER(SEARCH(",",$F222)),"Yes — checks ","Yes — check ")&amp;$F222)</f>
        <v/>
      </c>
      <c r="H222" s="53" t="n"/>
      <c r="I222" s="54" t="n"/>
      <c r="J222" s="53" t="n"/>
      <c r="K222" s="53" t="n"/>
    </row>
    <row r="223">
      <c r="A223" s="53" t="n"/>
      <c r="B223" s="53" t="n"/>
      <c r="C223" s="53" t="n"/>
      <c r="D223" s="53" t="n"/>
      <c r="E223" s="53" t="n"/>
      <c r="F223" s="53" t="n"/>
      <c r="G223" s="42">
        <f>IF($F223="","",IF(ISNUMBER(SEARCH(",",$F223)),"Yes — checks ","Yes — check ")&amp;$F223)</f>
        <v/>
      </c>
      <c r="H223" s="53" t="n"/>
      <c r="I223" s="54" t="n"/>
      <c r="J223" s="53" t="n"/>
      <c r="K223" s="53" t="n"/>
    </row>
    <row r="224">
      <c r="A224" s="53" t="n"/>
      <c r="B224" s="53" t="n"/>
      <c r="C224" s="53" t="n"/>
      <c r="D224" s="53" t="n"/>
      <c r="E224" s="53" t="n"/>
      <c r="F224" s="53" t="n"/>
      <c r="G224" s="42">
        <f>IF($F224="","",IF(ISNUMBER(SEARCH(",",$F224)),"Yes — checks ","Yes — check ")&amp;$F224)</f>
        <v/>
      </c>
      <c r="H224" s="53" t="n"/>
      <c r="I224" s="54" t="n"/>
      <c r="J224" s="53" t="n"/>
      <c r="K224" s="53" t="n"/>
    </row>
    <row r="225">
      <c r="A225" s="53" t="n"/>
      <c r="B225" s="53" t="n"/>
      <c r="C225" s="53" t="n"/>
      <c r="D225" s="53" t="n"/>
      <c r="E225" s="53" t="n"/>
      <c r="F225" s="53" t="n"/>
      <c r="G225" s="42">
        <f>IF($F225="","",IF(ISNUMBER(SEARCH(",",$F225)),"Yes — checks ","Yes — check ")&amp;$F225)</f>
        <v/>
      </c>
      <c r="H225" s="53" t="n"/>
      <c r="I225" s="54" t="n"/>
      <c r="J225" s="53" t="n"/>
      <c r="K225" s="53" t="n"/>
    </row>
    <row r="226">
      <c r="A226" s="53" t="n"/>
      <c r="B226" s="53" t="n"/>
      <c r="C226" s="53" t="n"/>
      <c r="D226" s="53" t="n"/>
      <c r="E226" s="53" t="n"/>
      <c r="F226" s="53" t="n"/>
      <c r="G226" s="42">
        <f>IF($F226="","",IF(ISNUMBER(SEARCH(",",$F226)),"Yes — checks ","Yes — check ")&amp;$F226)</f>
        <v/>
      </c>
      <c r="H226" s="53" t="n"/>
      <c r="I226" s="54" t="n"/>
      <c r="J226" s="53" t="n"/>
      <c r="K226" s="53" t="n"/>
    </row>
    <row r="227">
      <c r="A227" s="53" t="n"/>
      <c r="B227" s="53" t="n"/>
      <c r="C227" s="53" t="n"/>
      <c r="D227" s="53" t="n"/>
      <c r="E227" s="53" t="n"/>
      <c r="F227" s="53" t="n"/>
      <c r="G227" s="42">
        <f>IF($F227="","",IF(ISNUMBER(SEARCH(",",$F227)),"Yes — checks ","Yes — check ")&amp;$F227)</f>
        <v/>
      </c>
      <c r="H227" s="53" t="n"/>
      <c r="I227" s="54" t="n"/>
      <c r="J227" s="53" t="n"/>
      <c r="K227" s="53" t="n"/>
    </row>
    <row r="228">
      <c r="A228" s="53" t="n"/>
      <c r="B228" s="53" t="n"/>
      <c r="C228" s="53" t="n"/>
      <c r="D228" s="53" t="n"/>
      <c r="E228" s="53" t="n"/>
      <c r="F228" s="53" t="n"/>
      <c r="G228" s="42">
        <f>IF($F228="","",IF(ISNUMBER(SEARCH(",",$F228)),"Yes — checks ","Yes — check ")&amp;$F228)</f>
        <v/>
      </c>
      <c r="H228" s="53" t="n"/>
      <c r="I228" s="54" t="n"/>
      <c r="J228" s="53" t="n"/>
      <c r="K228" s="53" t="n"/>
    </row>
    <row r="229">
      <c r="A229" s="53" t="n"/>
      <c r="B229" s="53" t="n"/>
      <c r="C229" s="53" t="n"/>
      <c r="D229" s="53" t="n"/>
      <c r="E229" s="53" t="n"/>
      <c r="F229" s="53" t="n"/>
      <c r="G229" s="42">
        <f>IF($F229="","",IF(ISNUMBER(SEARCH(",",$F229)),"Yes — checks ","Yes — check ")&amp;$F229)</f>
        <v/>
      </c>
      <c r="H229" s="53" t="n"/>
      <c r="I229" s="54" t="n"/>
      <c r="J229" s="53" t="n"/>
      <c r="K229" s="53" t="n"/>
    </row>
    <row r="230">
      <c r="A230" s="53" t="n"/>
      <c r="B230" s="53" t="n"/>
      <c r="C230" s="53" t="n"/>
      <c r="D230" s="53" t="n"/>
      <c r="E230" s="53" t="n"/>
      <c r="F230" s="53" t="n"/>
      <c r="G230" s="42">
        <f>IF($F230="","",IF(ISNUMBER(SEARCH(",",$F230)),"Yes — checks ","Yes — check ")&amp;$F230)</f>
        <v/>
      </c>
      <c r="H230" s="53" t="n"/>
      <c r="I230" s="54" t="n"/>
      <c r="J230" s="53" t="n"/>
      <c r="K230" s="53" t="n"/>
    </row>
    <row r="231">
      <c r="A231" s="53" t="n"/>
      <c r="B231" s="53" t="n"/>
      <c r="C231" s="53" t="n"/>
      <c r="D231" s="53" t="n"/>
      <c r="E231" s="53" t="n"/>
      <c r="F231" s="53" t="n"/>
      <c r="G231" s="42">
        <f>IF($F231="","",IF(ISNUMBER(SEARCH(",",$F231)),"Yes — checks ","Yes — check ")&amp;$F231)</f>
        <v/>
      </c>
      <c r="H231" s="53" t="n"/>
      <c r="I231" s="54" t="n"/>
      <c r="J231" s="53" t="n"/>
      <c r="K231" s="53" t="n"/>
    </row>
    <row r="232">
      <c r="A232" s="53" t="n"/>
      <c r="B232" s="53" t="n"/>
      <c r="C232" s="53" t="n"/>
      <c r="D232" s="53" t="n"/>
      <c r="E232" s="53" t="n"/>
      <c r="F232" s="53" t="n"/>
      <c r="G232" s="42">
        <f>IF($F232="","",IF(ISNUMBER(SEARCH(",",$F232)),"Yes — checks ","Yes — check ")&amp;$F232)</f>
        <v/>
      </c>
      <c r="H232" s="53" t="n"/>
      <c r="I232" s="54" t="n"/>
      <c r="J232" s="53" t="n"/>
      <c r="K232" s="53" t="n"/>
    </row>
    <row r="233">
      <c r="A233" s="53" t="n"/>
      <c r="B233" s="53" t="n"/>
      <c r="C233" s="53" t="n"/>
      <c r="D233" s="53" t="n"/>
      <c r="E233" s="53" t="n"/>
      <c r="F233" s="53" t="n"/>
      <c r="G233" s="42">
        <f>IF($F233="","",IF(ISNUMBER(SEARCH(",",$F233)),"Yes — checks ","Yes — check ")&amp;$F233)</f>
        <v/>
      </c>
      <c r="H233" s="53" t="n"/>
      <c r="I233" s="54" t="n"/>
      <c r="J233" s="53" t="n"/>
      <c r="K233" s="53" t="n"/>
    </row>
    <row r="234">
      <c r="A234" s="53" t="n"/>
      <c r="B234" s="53" t="n"/>
      <c r="C234" s="53" t="n"/>
      <c r="D234" s="53" t="n"/>
      <c r="E234" s="53" t="n"/>
      <c r="F234" s="53" t="n"/>
      <c r="G234" s="42">
        <f>IF($F234="","",IF(ISNUMBER(SEARCH(",",$F234)),"Yes — checks ","Yes — check ")&amp;$F234)</f>
        <v/>
      </c>
      <c r="H234" s="53" t="n"/>
      <c r="I234" s="54" t="n"/>
      <c r="J234" s="53" t="n"/>
      <c r="K234" s="53" t="n"/>
    </row>
    <row r="235">
      <c r="A235" s="53" t="n"/>
      <c r="B235" s="53" t="n"/>
      <c r="C235" s="53" t="n"/>
      <c r="D235" s="53" t="n"/>
      <c r="E235" s="53" t="n"/>
      <c r="F235" s="53" t="n"/>
      <c r="G235" s="42">
        <f>IF($F235="","",IF(ISNUMBER(SEARCH(",",$F235)),"Yes — checks ","Yes — check ")&amp;$F235)</f>
        <v/>
      </c>
      <c r="H235" s="53" t="n"/>
      <c r="I235" s="54" t="n"/>
      <c r="J235" s="53" t="n"/>
      <c r="K235" s="53" t="n"/>
    </row>
    <row r="236">
      <c r="A236" s="53" t="n"/>
      <c r="B236" s="53" t="n"/>
      <c r="C236" s="53" t="n"/>
      <c r="D236" s="53" t="n"/>
      <c r="E236" s="53" t="n"/>
      <c r="F236" s="53" t="n"/>
      <c r="G236" s="42">
        <f>IF($F236="","",IF(ISNUMBER(SEARCH(",",$F236)),"Yes — checks ","Yes — check ")&amp;$F236)</f>
        <v/>
      </c>
      <c r="H236" s="53" t="n"/>
      <c r="I236" s="54" t="n"/>
      <c r="J236" s="53" t="n"/>
      <c r="K236" s="53" t="n"/>
    </row>
    <row r="237">
      <c r="A237" s="53" t="n"/>
      <c r="B237" s="53" t="n"/>
      <c r="C237" s="53" t="n"/>
      <c r="D237" s="53" t="n"/>
      <c r="E237" s="53" t="n"/>
      <c r="F237" s="53" t="n"/>
      <c r="G237" s="42">
        <f>IF($F237="","",IF(ISNUMBER(SEARCH(",",$F237)),"Yes — checks ","Yes — check ")&amp;$F237)</f>
        <v/>
      </c>
      <c r="H237" s="53" t="n"/>
      <c r="I237" s="54" t="n"/>
      <c r="J237" s="53" t="n"/>
      <c r="K237" s="53" t="n"/>
    </row>
    <row r="238">
      <c r="A238" s="53" t="n"/>
      <c r="B238" s="53" t="n"/>
      <c r="C238" s="53" t="n"/>
      <c r="D238" s="53" t="n"/>
      <c r="E238" s="53" t="n"/>
      <c r="F238" s="53" t="n"/>
      <c r="G238" s="42">
        <f>IF($F238="","",IF(ISNUMBER(SEARCH(",",$F238)),"Yes — checks ","Yes — check ")&amp;$F238)</f>
        <v/>
      </c>
      <c r="H238" s="53" t="n"/>
      <c r="I238" s="54" t="n"/>
      <c r="J238" s="53" t="n"/>
      <c r="K238" s="53" t="n"/>
    </row>
    <row r="239">
      <c r="A239" s="53" t="n"/>
      <c r="B239" s="53" t="n"/>
      <c r="C239" s="53" t="n"/>
      <c r="D239" s="53" t="n"/>
      <c r="E239" s="53" t="n"/>
      <c r="F239" s="53" t="n"/>
      <c r="G239" s="42">
        <f>IF($F239="","",IF(ISNUMBER(SEARCH(",",$F239)),"Yes — checks ","Yes — check ")&amp;$F239)</f>
        <v/>
      </c>
      <c r="H239" s="53" t="n"/>
      <c r="I239" s="54" t="n"/>
      <c r="J239" s="53" t="n"/>
      <c r="K239" s="53" t="n"/>
    </row>
    <row r="240">
      <c r="A240" s="53" t="n"/>
      <c r="B240" s="53" t="n"/>
      <c r="C240" s="53" t="n"/>
      <c r="D240" s="53" t="n"/>
      <c r="E240" s="53" t="n"/>
      <c r="F240" s="53" t="n"/>
      <c r="G240" s="42">
        <f>IF($F240="","",IF(ISNUMBER(SEARCH(",",$F240)),"Yes — checks ","Yes — check ")&amp;$F240)</f>
        <v/>
      </c>
      <c r="H240" s="53" t="n"/>
      <c r="I240" s="54" t="n"/>
      <c r="J240" s="53" t="n"/>
      <c r="K240" s="53" t="n"/>
    </row>
    <row r="241">
      <c r="A241" s="53" t="n"/>
      <c r="B241" s="53" t="n"/>
      <c r="C241" s="53" t="n"/>
      <c r="D241" s="53" t="n"/>
      <c r="E241" s="53" t="n"/>
      <c r="F241" s="53" t="n"/>
      <c r="G241" s="42">
        <f>IF($F241="","",IF(ISNUMBER(SEARCH(",",$F241)),"Yes — checks ","Yes — check ")&amp;$F241)</f>
        <v/>
      </c>
      <c r="H241" s="53" t="n"/>
      <c r="I241" s="54" t="n"/>
      <c r="J241" s="53" t="n"/>
      <c r="K241" s="53" t="n"/>
    </row>
    <row r="242">
      <c r="A242" s="53" t="n"/>
      <c r="B242" s="53" t="n"/>
      <c r="C242" s="53" t="n"/>
      <c r="D242" s="53" t="n"/>
      <c r="E242" s="53" t="n"/>
      <c r="F242" s="53" t="n"/>
      <c r="G242" s="42">
        <f>IF($F242="","",IF(ISNUMBER(SEARCH(",",$F242)),"Yes — checks ","Yes — check ")&amp;$F242)</f>
        <v/>
      </c>
      <c r="H242" s="53" t="n"/>
      <c r="I242" s="54" t="n"/>
      <c r="J242" s="53" t="n"/>
      <c r="K242" s="53" t="n"/>
    </row>
    <row r="243">
      <c r="A243" s="53" t="n"/>
      <c r="B243" s="53" t="n"/>
      <c r="C243" s="53" t="n"/>
      <c r="D243" s="53" t="n"/>
      <c r="E243" s="53" t="n"/>
      <c r="F243" s="53" t="n"/>
      <c r="G243" s="42">
        <f>IF($F243="","",IF(ISNUMBER(SEARCH(",",$F243)),"Yes — checks ","Yes — check ")&amp;$F243)</f>
        <v/>
      </c>
      <c r="H243" s="53" t="n"/>
      <c r="I243" s="54" t="n"/>
      <c r="J243" s="53" t="n"/>
      <c r="K243" s="53" t="n"/>
    </row>
    <row r="244">
      <c r="A244" s="53" t="n"/>
      <c r="B244" s="53" t="n"/>
      <c r="C244" s="53" t="n"/>
      <c r="D244" s="53" t="n"/>
      <c r="E244" s="53" t="n"/>
      <c r="F244" s="53" t="n"/>
      <c r="G244" s="42">
        <f>IF($F244="","",IF(ISNUMBER(SEARCH(",",$F244)),"Yes — checks ","Yes — check ")&amp;$F244)</f>
        <v/>
      </c>
      <c r="H244" s="53" t="n"/>
      <c r="I244" s="54" t="n"/>
      <c r="J244" s="53" t="n"/>
      <c r="K244" s="53" t="n"/>
    </row>
    <row r="245">
      <c r="A245" s="53" t="n"/>
      <c r="B245" s="53" t="n"/>
      <c r="C245" s="53" t="n"/>
      <c r="D245" s="53" t="n"/>
      <c r="E245" s="53" t="n"/>
      <c r="F245" s="53" t="n"/>
      <c r="G245" s="42">
        <f>IF($F245="","",IF(ISNUMBER(SEARCH(",",$F245)),"Yes — checks ","Yes — check ")&amp;$F245)</f>
        <v/>
      </c>
      <c r="H245" s="53" t="n"/>
      <c r="I245" s="54" t="n"/>
      <c r="J245" s="53" t="n"/>
      <c r="K245" s="53" t="n"/>
    </row>
    <row r="246">
      <c r="A246" s="53" t="n"/>
      <c r="B246" s="53" t="n"/>
      <c r="C246" s="53" t="n"/>
      <c r="D246" s="53" t="n"/>
      <c r="E246" s="53" t="n"/>
      <c r="F246" s="53" t="n"/>
      <c r="G246" s="42">
        <f>IF($F246="","",IF(ISNUMBER(SEARCH(",",$F246)),"Yes — checks ","Yes — check ")&amp;$F246)</f>
        <v/>
      </c>
      <c r="H246" s="53" t="n"/>
      <c r="I246" s="54" t="n"/>
      <c r="J246" s="53" t="n"/>
      <c r="K246" s="53" t="n"/>
    </row>
    <row r="247">
      <c r="A247" s="53" t="n"/>
      <c r="B247" s="53" t="n"/>
      <c r="C247" s="53" t="n"/>
      <c r="D247" s="53" t="n"/>
      <c r="E247" s="53" t="n"/>
      <c r="F247" s="53" t="n"/>
      <c r="G247" s="42">
        <f>IF($F247="","",IF(ISNUMBER(SEARCH(",",$F247)),"Yes — checks ","Yes — check ")&amp;$F247)</f>
        <v/>
      </c>
      <c r="H247" s="53" t="n"/>
      <c r="I247" s="54" t="n"/>
      <c r="J247" s="53" t="n"/>
      <c r="K247" s="53" t="n"/>
    </row>
    <row r="248">
      <c r="A248" s="53" t="n"/>
      <c r="B248" s="53" t="n"/>
      <c r="C248" s="53" t="n"/>
      <c r="D248" s="53" t="n"/>
      <c r="E248" s="53" t="n"/>
      <c r="F248" s="53" t="n"/>
      <c r="G248" s="42">
        <f>IF($F248="","",IF(ISNUMBER(SEARCH(",",$F248)),"Yes — checks ","Yes — check ")&amp;$F248)</f>
        <v/>
      </c>
      <c r="H248" s="53" t="n"/>
      <c r="I248" s="54" t="n"/>
      <c r="J248" s="53" t="n"/>
      <c r="K248" s="53" t="n"/>
    </row>
    <row r="249">
      <c r="A249" s="53" t="n"/>
      <c r="B249" s="53" t="n"/>
      <c r="C249" s="53" t="n"/>
      <c r="D249" s="53" t="n"/>
      <c r="E249" s="53" t="n"/>
      <c r="F249" s="53" t="n"/>
      <c r="G249" s="42">
        <f>IF($F249="","",IF(ISNUMBER(SEARCH(",",$F249)),"Yes — checks ","Yes — check ")&amp;$F249)</f>
        <v/>
      </c>
      <c r="H249" s="53" t="n"/>
      <c r="I249" s="54" t="n"/>
      <c r="J249" s="53" t="n"/>
      <c r="K249" s="53" t="n"/>
    </row>
    <row r="250">
      <c r="A250" s="53" t="n"/>
      <c r="B250" s="53" t="n"/>
      <c r="C250" s="53" t="n"/>
      <c r="D250" s="53" t="n"/>
      <c r="E250" s="53" t="n"/>
      <c r="F250" s="53" t="n"/>
      <c r="G250" s="42">
        <f>IF($F250="","",IF(ISNUMBER(SEARCH(",",$F250)),"Yes — checks ","Yes — check ")&amp;$F250)</f>
        <v/>
      </c>
      <c r="H250" s="53" t="n"/>
      <c r="I250" s="54" t="n"/>
      <c r="J250" s="53" t="n"/>
      <c r="K250" s="53" t="n"/>
    </row>
    <row r="251">
      <c r="A251" s="53" t="n"/>
      <c r="B251" s="53" t="n"/>
      <c r="C251" s="53" t="n"/>
      <c r="D251" s="53" t="n"/>
      <c r="E251" s="53" t="n"/>
      <c r="F251" s="53" t="n"/>
      <c r="G251" s="42">
        <f>IF($F251="","",IF(ISNUMBER(SEARCH(",",$F251)),"Yes — checks ","Yes — check ")&amp;$F251)</f>
        <v/>
      </c>
      <c r="H251" s="53" t="n"/>
      <c r="I251" s="54" t="n"/>
      <c r="J251" s="53" t="n"/>
      <c r="K251" s="53" t="n"/>
    </row>
    <row r="252">
      <c r="A252" s="53" t="n"/>
      <c r="B252" s="53" t="n"/>
      <c r="C252" s="53" t="n"/>
      <c r="D252" s="53" t="n"/>
      <c r="E252" s="53" t="n"/>
      <c r="F252" s="53" t="n"/>
      <c r="G252" s="42">
        <f>IF($F252="","",IF(ISNUMBER(SEARCH(",",$F252)),"Yes — checks ","Yes — check ")&amp;$F252)</f>
        <v/>
      </c>
      <c r="H252" s="53" t="n"/>
      <c r="I252" s="54" t="n"/>
      <c r="J252" s="53" t="n"/>
      <c r="K252" s="53" t="n"/>
    </row>
    <row r="253">
      <c r="A253" s="53" t="n"/>
      <c r="B253" s="53" t="n"/>
      <c r="C253" s="53" t="n"/>
      <c r="D253" s="53" t="n"/>
      <c r="E253" s="53" t="n"/>
      <c r="F253" s="53" t="n"/>
      <c r="G253" s="42">
        <f>IF($F253="","",IF(ISNUMBER(SEARCH(",",$F253)),"Yes — checks ","Yes — check ")&amp;$F253)</f>
        <v/>
      </c>
      <c r="H253" s="53" t="n"/>
      <c r="I253" s="54" t="n"/>
      <c r="J253" s="53" t="n"/>
      <c r="K253" s="53" t="n"/>
    </row>
    <row r="254">
      <c r="A254" s="53" t="n"/>
      <c r="B254" s="53" t="n"/>
      <c r="C254" s="53" t="n"/>
      <c r="D254" s="53" t="n"/>
      <c r="E254" s="53" t="n"/>
      <c r="F254" s="53" t="n"/>
      <c r="G254" s="42">
        <f>IF($F254="","",IF(ISNUMBER(SEARCH(",",$F254)),"Yes — checks ","Yes — check ")&amp;$F254)</f>
        <v/>
      </c>
      <c r="H254" s="53" t="n"/>
      <c r="I254" s="54" t="n"/>
      <c r="J254" s="53" t="n"/>
      <c r="K254" s="53" t="n"/>
    </row>
    <row r="255">
      <c r="A255" s="53" t="n"/>
      <c r="B255" s="53" t="n"/>
      <c r="C255" s="53" t="n"/>
      <c r="D255" s="53" t="n"/>
      <c r="E255" s="53" t="n"/>
      <c r="F255" s="53" t="n"/>
      <c r="G255" s="42">
        <f>IF($F255="","",IF(ISNUMBER(SEARCH(",",$F255)),"Yes — checks ","Yes — check ")&amp;$F255)</f>
        <v/>
      </c>
      <c r="H255" s="53" t="n"/>
      <c r="I255" s="54" t="n"/>
      <c r="J255" s="53" t="n"/>
      <c r="K255" s="53" t="n"/>
    </row>
    <row r="256">
      <c r="A256" s="53" t="n"/>
      <c r="B256" s="53" t="n"/>
      <c r="C256" s="53" t="n"/>
      <c r="D256" s="53" t="n"/>
      <c r="E256" s="53" t="n"/>
      <c r="F256" s="53" t="n"/>
      <c r="G256" s="42">
        <f>IF($F256="","",IF(ISNUMBER(SEARCH(",",$F256)),"Yes — checks ","Yes — check ")&amp;$F256)</f>
        <v/>
      </c>
      <c r="H256" s="53" t="n"/>
      <c r="I256" s="54" t="n"/>
      <c r="J256" s="53" t="n"/>
      <c r="K256" s="53" t="n"/>
    </row>
    <row r="257">
      <c r="A257" s="53" t="n"/>
      <c r="B257" s="53" t="n"/>
      <c r="C257" s="53" t="n"/>
      <c r="D257" s="53" t="n"/>
      <c r="E257" s="53" t="n"/>
      <c r="F257" s="53" t="n"/>
      <c r="G257" s="42">
        <f>IF($F257="","",IF(ISNUMBER(SEARCH(",",$F257)),"Yes — checks ","Yes — check ")&amp;$F257)</f>
        <v/>
      </c>
      <c r="H257" s="53" t="n"/>
      <c r="I257" s="54" t="n"/>
      <c r="J257" s="53" t="n"/>
      <c r="K257" s="53" t="n"/>
    </row>
    <row r="258">
      <c r="A258" s="53" t="n"/>
      <c r="B258" s="53" t="n"/>
      <c r="C258" s="53" t="n"/>
      <c r="D258" s="53" t="n"/>
      <c r="E258" s="53" t="n"/>
      <c r="F258" s="53" t="n"/>
      <c r="G258" s="42">
        <f>IF($F258="","",IF(ISNUMBER(SEARCH(",",$F258)),"Yes — checks ","Yes — check ")&amp;$F258)</f>
        <v/>
      </c>
      <c r="H258" s="53" t="n"/>
      <c r="I258" s="54" t="n"/>
      <c r="J258" s="53" t="n"/>
      <c r="K258" s="53" t="n"/>
    </row>
    <row r="259">
      <c r="A259" s="53" t="n"/>
      <c r="B259" s="53" t="n"/>
      <c r="C259" s="53" t="n"/>
      <c r="D259" s="53" t="n"/>
      <c r="E259" s="53" t="n"/>
      <c r="F259" s="53" t="n"/>
      <c r="G259" s="42">
        <f>IF($F259="","",IF(ISNUMBER(SEARCH(",",$F259)),"Yes — checks ","Yes — check ")&amp;$F259)</f>
        <v/>
      </c>
      <c r="H259" s="53" t="n"/>
      <c r="I259" s="54" t="n"/>
      <c r="J259" s="53" t="n"/>
      <c r="K259" s="53" t="n"/>
    </row>
    <row r="260">
      <c r="A260" s="53" t="n"/>
      <c r="B260" s="53" t="n"/>
      <c r="C260" s="53" t="n"/>
      <c r="D260" s="53" t="n"/>
      <c r="E260" s="53" t="n"/>
      <c r="F260" s="53" t="n"/>
      <c r="G260" s="42">
        <f>IF($F260="","",IF(ISNUMBER(SEARCH(",",$F260)),"Yes — checks ","Yes — check ")&amp;$F260)</f>
        <v/>
      </c>
      <c r="H260" s="53" t="n"/>
      <c r="I260" s="54" t="n"/>
      <c r="J260" s="53" t="n"/>
      <c r="K260" s="53" t="n"/>
    </row>
    <row r="261">
      <c r="A261" s="53" t="n"/>
      <c r="B261" s="53" t="n"/>
      <c r="C261" s="53" t="n"/>
      <c r="D261" s="53" t="n"/>
      <c r="E261" s="53" t="n"/>
      <c r="F261" s="53" t="n"/>
      <c r="G261" s="42">
        <f>IF($F261="","",IF(ISNUMBER(SEARCH(",",$F261)),"Yes — checks ","Yes — check ")&amp;$F261)</f>
        <v/>
      </c>
      <c r="H261" s="53" t="n"/>
      <c r="I261" s="54" t="n"/>
      <c r="J261" s="53" t="n"/>
      <c r="K261" s="53" t="n"/>
    </row>
    <row r="262">
      <c r="A262" s="53" t="n"/>
      <c r="B262" s="53" t="n"/>
      <c r="C262" s="53" t="n"/>
      <c r="D262" s="53" t="n"/>
      <c r="E262" s="53" t="n"/>
      <c r="F262" s="53" t="n"/>
      <c r="G262" s="42">
        <f>IF($F262="","",IF(ISNUMBER(SEARCH(",",$F262)),"Yes — checks ","Yes — check ")&amp;$F262)</f>
        <v/>
      </c>
      <c r="H262" s="53" t="n"/>
      <c r="I262" s="54" t="n"/>
      <c r="J262" s="53" t="n"/>
      <c r="K262" s="53" t="n"/>
    </row>
    <row r="263">
      <c r="A263" s="53" t="n"/>
      <c r="B263" s="53" t="n"/>
      <c r="C263" s="53" t="n"/>
      <c r="D263" s="53" t="n"/>
      <c r="E263" s="53" t="n"/>
      <c r="F263" s="53" t="n"/>
      <c r="G263" s="42">
        <f>IF($F263="","",IF(ISNUMBER(SEARCH(",",$F263)),"Yes — checks ","Yes — check ")&amp;$F263)</f>
        <v/>
      </c>
      <c r="H263" s="53" t="n"/>
      <c r="I263" s="54" t="n"/>
      <c r="J263" s="53" t="n"/>
      <c r="K263" s="53" t="n"/>
    </row>
    <row r="264">
      <c r="A264" s="53" t="n"/>
      <c r="B264" s="53" t="n"/>
      <c r="C264" s="53" t="n"/>
      <c r="D264" s="53" t="n"/>
      <c r="E264" s="53" t="n"/>
      <c r="F264" s="53" t="n"/>
      <c r="G264" s="42">
        <f>IF($F264="","",IF(ISNUMBER(SEARCH(",",$F264)),"Yes — checks ","Yes — check ")&amp;$F264)</f>
        <v/>
      </c>
      <c r="H264" s="53" t="n"/>
      <c r="I264" s="54" t="n"/>
      <c r="J264" s="53" t="n"/>
      <c r="K264" s="53" t="n"/>
    </row>
    <row r="265">
      <c r="A265" s="53" t="n"/>
      <c r="B265" s="53" t="n"/>
      <c r="C265" s="53" t="n"/>
      <c r="D265" s="53" t="n"/>
      <c r="E265" s="53" t="n"/>
      <c r="F265" s="53" t="n"/>
      <c r="G265" s="42">
        <f>IF($F265="","",IF(ISNUMBER(SEARCH(",",$F265)),"Yes — checks ","Yes — check ")&amp;$F265)</f>
        <v/>
      </c>
      <c r="H265" s="53" t="n"/>
      <c r="I265" s="54" t="n"/>
      <c r="J265" s="53" t="n"/>
      <c r="K265" s="53" t="n"/>
    </row>
    <row r="266">
      <c r="A266" s="53" t="n"/>
      <c r="B266" s="53" t="n"/>
      <c r="C266" s="53" t="n"/>
      <c r="D266" s="53" t="n"/>
      <c r="E266" s="53" t="n"/>
      <c r="F266" s="53" t="n"/>
      <c r="G266" s="42">
        <f>IF($F266="","",IF(ISNUMBER(SEARCH(",",$F266)),"Yes — checks ","Yes — check ")&amp;$F266)</f>
        <v/>
      </c>
      <c r="H266" s="53" t="n"/>
      <c r="I266" s="54" t="n"/>
      <c r="J266" s="53" t="n"/>
      <c r="K266" s="53" t="n"/>
    </row>
    <row r="267">
      <c r="A267" s="53" t="n"/>
      <c r="B267" s="53" t="n"/>
      <c r="C267" s="53" t="n"/>
      <c r="D267" s="53" t="n"/>
      <c r="E267" s="53" t="n"/>
      <c r="F267" s="53" t="n"/>
      <c r="G267" s="42">
        <f>IF($F267="","",IF(ISNUMBER(SEARCH(",",$F267)),"Yes — checks ","Yes — check ")&amp;$F267)</f>
        <v/>
      </c>
      <c r="H267" s="53" t="n"/>
      <c r="I267" s="54" t="n"/>
      <c r="J267" s="53" t="n"/>
      <c r="K267" s="53" t="n"/>
    </row>
    <row r="268">
      <c r="A268" s="53" t="n"/>
      <c r="B268" s="53" t="n"/>
      <c r="C268" s="53" t="n"/>
      <c r="D268" s="53" t="n"/>
      <c r="E268" s="53" t="n"/>
      <c r="F268" s="53" t="n"/>
      <c r="G268" s="42">
        <f>IF($F268="","",IF(ISNUMBER(SEARCH(",",$F268)),"Yes — checks ","Yes — check ")&amp;$F268)</f>
        <v/>
      </c>
      <c r="H268" s="53" t="n"/>
      <c r="I268" s="54" t="n"/>
      <c r="J268" s="53" t="n"/>
      <c r="K268" s="53" t="n"/>
    </row>
    <row r="269">
      <c r="A269" s="53" t="n"/>
      <c r="B269" s="53" t="n"/>
      <c r="C269" s="53" t="n"/>
      <c r="D269" s="53" t="n"/>
      <c r="E269" s="53" t="n"/>
      <c r="F269" s="53" t="n"/>
      <c r="G269" s="42">
        <f>IF($F269="","",IF(ISNUMBER(SEARCH(",",$F269)),"Yes — checks ","Yes — check ")&amp;$F269)</f>
        <v/>
      </c>
      <c r="H269" s="53" t="n"/>
      <c r="I269" s="54" t="n"/>
      <c r="J269" s="53" t="n"/>
      <c r="K269" s="53" t="n"/>
    </row>
    <row r="270">
      <c r="A270" s="53" t="n"/>
      <c r="B270" s="53" t="n"/>
      <c r="C270" s="53" t="n"/>
      <c r="D270" s="53" t="n"/>
      <c r="E270" s="53" t="n"/>
      <c r="F270" s="53" t="n"/>
      <c r="G270" s="42">
        <f>IF($F270="","",IF(ISNUMBER(SEARCH(",",$F270)),"Yes — checks ","Yes — check ")&amp;$F270)</f>
        <v/>
      </c>
      <c r="H270" s="53" t="n"/>
      <c r="I270" s="54" t="n"/>
      <c r="J270" s="53" t="n"/>
      <c r="K270" s="53" t="n"/>
    </row>
    <row r="271">
      <c r="A271" s="53" t="n"/>
      <c r="B271" s="53" t="n"/>
      <c r="C271" s="53" t="n"/>
      <c r="D271" s="53" t="n"/>
      <c r="E271" s="53" t="n"/>
      <c r="F271" s="53" t="n"/>
      <c r="G271" s="42">
        <f>IF($F271="","",IF(ISNUMBER(SEARCH(",",$F271)),"Yes — checks ","Yes — check ")&amp;$F271)</f>
        <v/>
      </c>
      <c r="H271" s="53" t="n"/>
      <c r="I271" s="54" t="n"/>
      <c r="J271" s="53" t="n"/>
      <c r="K271" s="53" t="n"/>
    </row>
    <row r="272">
      <c r="A272" s="53" t="n"/>
      <c r="B272" s="53" t="n"/>
      <c r="C272" s="53" t="n"/>
      <c r="D272" s="53" t="n"/>
      <c r="E272" s="53" t="n"/>
      <c r="F272" s="53" t="n"/>
      <c r="G272" s="42">
        <f>IF($F272="","",IF(ISNUMBER(SEARCH(",",$F272)),"Yes — checks ","Yes — check ")&amp;$F272)</f>
        <v/>
      </c>
      <c r="H272" s="53" t="n"/>
      <c r="I272" s="54" t="n"/>
      <c r="J272" s="53" t="n"/>
      <c r="K272" s="53" t="n"/>
    </row>
    <row r="273">
      <c r="A273" s="53" t="n"/>
      <c r="B273" s="53" t="n"/>
      <c r="C273" s="53" t="n"/>
      <c r="D273" s="53" t="n"/>
      <c r="E273" s="53" t="n"/>
      <c r="F273" s="53" t="n"/>
      <c r="G273" s="42">
        <f>IF($F273="","",IF(ISNUMBER(SEARCH(",",$F273)),"Yes — checks ","Yes — check ")&amp;$F273)</f>
        <v/>
      </c>
      <c r="H273" s="53" t="n"/>
      <c r="I273" s="54" t="n"/>
      <c r="J273" s="53" t="n"/>
      <c r="K273" s="53" t="n"/>
    </row>
    <row r="274">
      <c r="A274" s="53" t="n"/>
      <c r="B274" s="53" t="n"/>
      <c r="C274" s="53" t="n"/>
      <c r="D274" s="53" t="n"/>
      <c r="E274" s="53" t="n"/>
      <c r="F274" s="53" t="n"/>
      <c r="G274" s="42">
        <f>IF($F274="","",IF(ISNUMBER(SEARCH(",",$F274)),"Yes — checks ","Yes — check ")&amp;$F274)</f>
        <v/>
      </c>
      <c r="H274" s="53" t="n"/>
      <c r="I274" s="54" t="n"/>
      <c r="J274" s="53" t="n"/>
      <c r="K274" s="53" t="n"/>
    </row>
    <row r="275">
      <c r="A275" s="53" t="n"/>
      <c r="B275" s="53" t="n"/>
      <c r="C275" s="53" t="n"/>
      <c r="D275" s="53" t="n"/>
      <c r="E275" s="53" t="n"/>
      <c r="F275" s="53" t="n"/>
      <c r="G275" s="42">
        <f>IF($F275="","",IF(ISNUMBER(SEARCH(",",$F275)),"Yes — checks ","Yes — check ")&amp;$F275)</f>
        <v/>
      </c>
      <c r="H275" s="53" t="n"/>
      <c r="I275" s="54" t="n"/>
      <c r="J275" s="53" t="n"/>
      <c r="K275" s="53" t="n"/>
    </row>
    <row r="276">
      <c r="A276" s="53" t="n"/>
      <c r="B276" s="53" t="n"/>
      <c r="C276" s="53" t="n"/>
      <c r="D276" s="53" t="n"/>
      <c r="E276" s="53" t="n"/>
      <c r="F276" s="53" t="n"/>
      <c r="G276" s="42">
        <f>IF($F276="","",IF(ISNUMBER(SEARCH(",",$F276)),"Yes — checks ","Yes — check ")&amp;$F276)</f>
        <v/>
      </c>
      <c r="H276" s="53" t="n"/>
      <c r="I276" s="54" t="n"/>
      <c r="J276" s="53" t="n"/>
      <c r="K276" s="53" t="n"/>
    </row>
    <row r="277">
      <c r="A277" s="53" t="n"/>
      <c r="B277" s="53" t="n"/>
      <c r="C277" s="53" t="n"/>
      <c r="D277" s="53" t="n"/>
      <c r="E277" s="53" t="n"/>
      <c r="F277" s="53" t="n"/>
      <c r="G277" s="42">
        <f>IF($F277="","",IF(ISNUMBER(SEARCH(",",$F277)),"Yes — checks ","Yes — check ")&amp;$F277)</f>
        <v/>
      </c>
      <c r="H277" s="53" t="n"/>
      <c r="I277" s="54" t="n"/>
      <c r="J277" s="53" t="n"/>
      <c r="K277" s="53" t="n"/>
    </row>
    <row r="278">
      <c r="A278" s="53" t="n"/>
      <c r="B278" s="53" t="n"/>
      <c r="C278" s="53" t="n"/>
      <c r="D278" s="53" t="n"/>
      <c r="E278" s="53" t="n"/>
      <c r="F278" s="53" t="n"/>
      <c r="G278" s="42">
        <f>IF($F278="","",IF(ISNUMBER(SEARCH(",",$F278)),"Yes — checks ","Yes — check ")&amp;$F278)</f>
        <v/>
      </c>
      <c r="H278" s="53" t="n"/>
      <c r="I278" s="54" t="n"/>
      <c r="J278" s="53" t="n"/>
      <c r="K278" s="53" t="n"/>
    </row>
    <row r="279">
      <c r="A279" s="53" t="n"/>
      <c r="B279" s="53" t="n"/>
      <c r="C279" s="53" t="n"/>
      <c r="D279" s="53" t="n"/>
      <c r="E279" s="53" t="n"/>
      <c r="F279" s="53" t="n"/>
      <c r="G279" s="42">
        <f>IF($F279="","",IF(ISNUMBER(SEARCH(",",$F279)),"Yes — checks ","Yes — check ")&amp;$F279)</f>
        <v/>
      </c>
      <c r="H279" s="53" t="n"/>
      <c r="I279" s="54" t="n"/>
      <c r="J279" s="53" t="n"/>
      <c r="K279" s="53" t="n"/>
    </row>
    <row r="280">
      <c r="A280" s="53" t="n"/>
      <c r="B280" s="53" t="n"/>
      <c r="C280" s="53" t="n"/>
      <c r="D280" s="53" t="n"/>
      <c r="E280" s="53" t="n"/>
      <c r="F280" s="53" t="n"/>
      <c r="G280" s="42">
        <f>IF($F280="","",IF(ISNUMBER(SEARCH(",",$F280)),"Yes — checks ","Yes — check ")&amp;$F280)</f>
        <v/>
      </c>
      <c r="H280" s="53" t="n"/>
      <c r="I280" s="54" t="n"/>
      <c r="J280" s="53" t="n"/>
      <c r="K280" s="53" t="n"/>
    </row>
    <row r="281">
      <c r="A281" s="53" t="n"/>
      <c r="B281" s="53" t="n"/>
      <c r="C281" s="53" t="n"/>
      <c r="D281" s="53" t="n"/>
      <c r="E281" s="53" t="n"/>
      <c r="F281" s="53" t="n"/>
      <c r="G281" s="42">
        <f>IF($F281="","",IF(ISNUMBER(SEARCH(",",$F281)),"Yes — checks ","Yes — check ")&amp;$F281)</f>
        <v/>
      </c>
      <c r="H281" s="53" t="n"/>
      <c r="I281" s="54" t="n"/>
      <c r="J281" s="53" t="n"/>
      <c r="K281" s="53" t="n"/>
    </row>
    <row r="282">
      <c r="A282" s="53" t="n"/>
      <c r="B282" s="53" t="n"/>
      <c r="C282" s="53" t="n"/>
      <c r="D282" s="53" t="n"/>
      <c r="E282" s="53" t="n"/>
      <c r="F282" s="53" t="n"/>
      <c r="G282" s="42">
        <f>IF($F282="","",IF(ISNUMBER(SEARCH(",",$F282)),"Yes — checks ","Yes — check ")&amp;$F282)</f>
        <v/>
      </c>
      <c r="H282" s="53" t="n"/>
      <c r="I282" s="54" t="n"/>
      <c r="J282" s="53" t="n"/>
      <c r="K282" s="53" t="n"/>
    </row>
    <row r="283">
      <c r="A283" s="53" t="n"/>
      <c r="B283" s="53" t="n"/>
      <c r="C283" s="53" t="n"/>
      <c r="D283" s="53" t="n"/>
      <c r="E283" s="53" t="n"/>
      <c r="F283" s="53" t="n"/>
      <c r="G283" s="42">
        <f>IF($F283="","",IF(ISNUMBER(SEARCH(",",$F283)),"Yes — checks ","Yes — check ")&amp;$F283)</f>
        <v/>
      </c>
      <c r="H283" s="53" t="n"/>
      <c r="I283" s="54" t="n"/>
      <c r="J283" s="53" t="n"/>
      <c r="K283" s="53" t="n"/>
    </row>
    <row r="284">
      <c r="A284" s="53" t="n"/>
      <c r="B284" s="53" t="n"/>
      <c r="C284" s="53" t="n"/>
      <c r="D284" s="53" t="n"/>
      <c r="E284" s="53" t="n"/>
      <c r="F284" s="53" t="n"/>
      <c r="G284" s="42">
        <f>IF($F284="","",IF(ISNUMBER(SEARCH(",",$F284)),"Yes — checks ","Yes — check ")&amp;$F284)</f>
        <v/>
      </c>
      <c r="H284" s="53" t="n"/>
      <c r="I284" s="54" t="n"/>
      <c r="J284" s="53" t="n"/>
      <c r="K284" s="53" t="n"/>
    </row>
    <row r="285">
      <c r="A285" s="53" t="n"/>
      <c r="B285" s="53" t="n"/>
      <c r="C285" s="53" t="n"/>
      <c r="D285" s="53" t="n"/>
      <c r="E285" s="53" t="n"/>
      <c r="F285" s="53" t="n"/>
      <c r="G285" s="42">
        <f>IF($F285="","",IF(ISNUMBER(SEARCH(",",$F285)),"Yes — checks ","Yes — check ")&amp;$F285)</f>
        <v/>
      </c>
      <c r="H285" s="53" t="n"/>
      <c r="I285" s="54" t="n"/>
      <c r="J285" s="53" t="n"/>
      <c r="K285" s="53" t="n"/>
    </row>
    <row r="286">
      <c r="A286" s="53" t="n"/>
      <c r="B286" s="53" t="n"/>
      <c r="C286" s="53" t="n"/>
      <c r="D286" s="53" t="n"/>
      <c r="E286" s="53" t="n"/>
      <c r="F286" s="53" t="n"/>
      <c r="G286" s="42">
        <f>IF($F286="","",IF(ISNUMBER(SEARCH(",",$F286)),"Yes — checks ","Yes — check ")&amp;$F286)</f>
        <v/>
      </c>
      <c r="H286" s="53" t="n"/>
      <c r="I286" s="54" t="n"/>
      <c r="J286" s="53" t="n"/>
      <c r="K286" s="53" t="n"/>
    </row>
    <row r="287">
      <c r="A287" s="53" t="n"/>
      <c r="B287" s="53" t="n"/>
      <c r="C287" s="53" t="n"/>
      <c r="D287" s="53" t="n"/>
      <c r="E287" s="53" t="n"/>
      <c r="F287" s="53" t="n"/>
      <c r="G287" s="42">
        <f>IF($F287="","",IF(ISNUMBER(SEARCH(",",$F287)),"Yes — checks ","Yes — check ")&amp;$F287)</f>
        <v/>
      </c>
      <c r="H287" s="53" t="n"/>
      <c r="I287" s="54" t="n"/>
      <c r="J287" s="53" t="n"/>
      <c r="K287" s="53" t="n"/>
    </row>
    <row r="288">
      <c r="A288" s="53" t="n"/>
      <c r="B288" s="53" t="n"/>
      <c r="C288" s="53" t="n"/>
      <c r="D288" s="53" t="n"/>
      <c r="E288" s="53" t="n"/>
      <c r="F288" s="53" t="n"/>
      <c r="G288" s="42">
        <f>IF($F288="","",IF(ISNUMBER(SEARCH(",",$F288)),"Yes — checks ","Yes — check ")&amp;$F288)</f>
        <v/>
      </c>
      <c r="H288" s="53" t="n"/>
      <c r="I288" s="54" t="n"/>
      <c r="J288" s="53" t="n"/>
      <c r="K288" s="53" t="n"/>
    </row>
    <row r="289">
      <c r="A289" s="53" t="n"/>
      <c r="B289" s="53" t="n"/>
      <c r="C289" s="53" t="n"/>
      <c r="D289" s="53" t="n"/>
      <c r="E289" s="53" t="n"/>
      <c r="F289" s="53" t="n"/>
      <c r="G289" s="42">
        <f>IF($F289="","",IF(ISNUMBER(SEARCH(",",$F289)),"Yes — checks ","Yes — check ")&amp;$F289)</f>
        <v/>
      </c>
      <c r="H289" s="53" t="n"/>
      <c r="I289" s="54" t="n"/>
      <c r="J289" s="53" t="n"/>
      <c r="K289" s="53" t="n"/>
    </row>
    <row r="290">
      <c r="A290" s="53" t="n"/>
      <c r="B290" s="53" t="n"/>
      <c r="C290" s="53" t="n"/>
      <c r="D290" s="53" t="n"/>
      <c r="E290" s="53" t="n"/>
      <c r="F290" s="53" t="n"/>
      <c r="G290" s="42">
        <f>IF($F290="","",IF(ISNUMBER(SEARCH(",",$F290)),"Yes — checks ","Yes — check ")&amp;$F290)</f>
        <v/>
      </c>
      <c r="H290" s="53" t="n"/>
      <c r="I290" s="54" t="n"/>
      <c r="J290" s="53" t="n"/>
      <c r="K290" s="53" t="n"/>
    </row>
    <row r="291">
      <c r="A291" s="53" t="n"/>
      <c r="B291" s="53" t="n"/>
      <c r="C291" s="53" t="n"/>
      <c r="D291" s="53" t="n"/>
      <c r="E291" s="53" t="n"/>
      <c r="F291" s="53" t="n"/>
      <c r="G291" s="42">
        <f>IF($F291="","",IF(ISNUMBER(SEARCH(",",$F291)),"Yes — checks ","Yes — check ")&amp;$F291)</f>
        <v/>
      </c>
      <c r="H291" s="53" t="n"/>
      <c r="I291" s="54" t="n"/>
      <c r="J291" s="53" t="n"/>
      <c r="K291" s="53" t="n"/>
    </row>
    <row r="292">
      <c r="A292" s="53" t="n"/>
      <c r="B292" s="53" t="n"/>
      <c r="C292" s="53" t="n"/>
      <c r="D292" s="53" t="n"/>
      <c r="E292" s="53" t="n"/>
      <c r="F292" s="53" t="n"/>
      <c r="G292" s="42">
        <f>IF($F292="","",IF(ISNUMBER(SEARCH(",",$F292)),"Yes — checks ","Yes — check ")&amp;$F292)</f>
        <v/>
      </c>
      <c r="H292" s="53" t="n"/>
      <c r="I292" s="54" t="n"/>
      <c r="J292" s="53" t="n"/>
      <c r="K292" s="53" t="n"/>
    </row>
    <row r="293">
      <c r="A293" s="53" t="n"/>
      <c r="B293" s="53" t="n"/>
      <c r="C293" s="53" t="n"/>
      <c r="D293" s="53" t="n"/>
      <c r="E293" s="53" t="n"/>
      <c r="F293" s="53" t="n"/>
      <c r="G293" s="42">
        <f>IF($F293="","",IF(ISNUMBER(SEARCH(",",$F293)),"Yes — checks ","Yes — check ")&amp;$F293)</f>
        <v/>
      </c>
      <c r="H293" s="53" t="n"/>
      <c r="I293" s="54" t="n"/>
      <c r="J293" s="53" t="n"/>
      <c r="K293" s="53" t="n"/>
    </row>
    <row r="294">
      <c r="A294" s="53" t="n"/>
      <c r="B294" s="53" t="n"/>
      <c r="C294" s="53" t="n"/>
      <c r="D294" s="53" t="n"/>
      <c r="E294" s="53" t="n"/>
      <c r="F294" s="53" t="n"/>
      <c r="G294" s="42">
        <f>IF($F294="","",IF(ISNUMBER(SEARCH(",",$F294)),"Yes — checks ","Yes — check ")&amp;$F294)</f>
        <v/>
      </c>
      <c r="H294" s="53" t="n"/>
      <c r="I294" s="54" t="n"/>
      <c r="J294" s="53" t="n"/>
      <c r="K294" s="53" t="n"/>
    </row>
    <row r="295">
      <c r="A295" s="53" t="n"/>
      <c r="B295" s="53" t="n"/>
      <c r="C295" s="53" t="n"/>
      <c r="D295" s="53" t="n"/>
      <c r="E295" s="53" t="n"/>
      <c r="F295" s="53" t="n"/>
      <c r="G295" s="42">
        <f>IF($F295="","",IF(ISNUMBER(SEARCH(",",$F295)),"Yes — checks ","Yes — check ")&amp;$F295)</f>
        <v/>
      </c>
      <c r="H295" s="53" t="n"/>
      <c r="I295" s="54" t="n"/>
      <c r="J295" s="53" t="n"/>
      <c r="K295" s="53" t="n"/>
    </row>
    <row r="296">
      <c r="A296" s="53" t="n"/>
      <c r="B296" s="53" t="n"/>
      <c r="C296" s="53" t="n"/>
      <c r="D296" s="53" t="n"/>
      <c r="E296" s="53" t="n"/>
      <c r="F296" s="53" t="n"/>
      <c r="G296" s="42">
        <f>IF($F296="","",IF(ISNUMBER(SEARCH(",",$F296)),"Yes — checks ","Yes — check ")&amp;$F296)</f>
        <v/>
      </c>
      <c r="H296" s="53" t="n"/>
      <c r="I296" s="54" t="n"/>
      <c r="J296" s="53" t="n"/>
      <c r="K296" s="53" t="n"/>
    </row>
    <row r="297">
      <c r="A297" s="53" t="n"/>
      <c r="B297" s="53" t="n"/>
      <c r="C297" s="53" t="n"/>
      <c r="D297" s="53" t="n"/>
      <c r="E297" s="53" t="n"/>
      <c r="F297" s="53" t="n"/>
      <c r="G297" s="42">
        <f>IF($F297="","",IF(ISNUMBER(SEARCH(",",$F297)),"Yes — checks ","Yes — check ")&amp;$F297)</f>
        <v/>
      </c>
      <c r="H297" s="53" t="n"/>
      <c r="I297" s="54" t="n"/>
      <c r="J297" s="53" t="n"/>
      <c r="K297" s="53" t="n"/>
    </row>
    <row r="298">
      <c r="A298" s="53" t="n"/>
      <c r="B298" s="53" t="n"/>
      <c r="C298" s="53" t="n"/>
      <c r="D298" s="53" t="n"/>
      <c r="E298" s="53" t="n"/>
      <c r="F298" s="53" t="n"/>
      <c r="G298" s="42">
        <f>IF($F298="","",IF(ISNUMBER(SEARCH(",",$F298)),"Yes — checks ","Yes — check ")&amp;$F298)</f>
        <v/>
      </c>
      <c r="H298" s="53" t="n"/>
      <c r="I298" s="54" t="n"/>
      <c r="J298" s="53" t="n"/>
      <c r="K298" s="53" t="n"/>
    </row>
    <row r="299">
      <c r="A299" s="53" t="n"/>
      <c r="B299" s="53" t="n"/>
      <c r="C299" s="53" t="n"/>
      <c r="D299" s="53" t="n"/>
      <c r="E299" s="53" t="n"/>
      <c r="F299" s="53" t="n"/>
      <c r="G299" s="42">
        <f>IF($F299="","",IF(ISNUMBER(SEARCH(",",$F299)),"Yes — checks ","Yes — check ")&amp;$F299)</f>
        <v/>
      </c>
      <c r="H299" s="53" t="n"/>
      <c r="I299" s="54" t="n"/>
      <c r="J299" s="53" t="n"/>
      <c r="K299" s="53" t="n"/>
    </row>
    <row r="300">
      <c r="A300" s="53" t="n"/>
      <c r="B300" s="53" t="n"/>
      <c r="C300" s="53" t="n"/>
      <c r="D300" s="53" t="n"/>
      <c r="E300" s="53" t="n"/>
      <c r="F300" s="53" t="n"/>
      <c r="G300" s="42">
        <f>IF($F300="","",IF(ISNUMBER(SEARCH(",",$F300)),"Yes — checks ","Yes — check ")&amp;$F300)</f>
        <v/>
      </c>
      <c r="H300" s="53" t="n"/>
      <c r="I300" s="54" t="n"/>
      <c r="J300" s="53" t="n"/>
      <c r="K300" s="53" t="n"/>
    </row>
    <row r="301">
      <c r="A301" s="53" t="n"/>
      <c r="B301" s="53" t="n"/>
      <c r="C301" s="53" t="n"/>
      <c r="D301" s="53" t="n"/>
      <c r="E301" s="53" t="n"/>
      <c r="F301" s="53" t="n"/>
      <c r="G301" s="42">
        <f>IF($F301="","",IF(ISNUMBER(SEARCH(",",$F301)),"Yes — checks ","Yes — check ")&amp;$F301)</f>
        <v/>
      </c>
      <c r="H301" s="53" t="n"/>
      <c r="I301" s="54" t="n"/>
      <c r="J301" s="53" t="n"/>
      <c r="K301" s="53" t="n"/>
    </row>
    <row r="302">
      <c r="A302" s="53" t="n"/>
      <c r="B302" s="53" t="n"/>
      <c r="C302" s="53" t="n"/>
      <c r="D302" s="53" t="n"/>
      <c r="E302" s="53" t="n"/>
      <c r="F302" s="53" t="n"/>
      <c r="G302" s="42">
        <f>IF($F302="","",IF(ISNUMBER(SEARCH(",",$F302)),"Yes — checks ","Yes — check ")&amp;$F302)</f>
        <v/>
      </c>
      <c r="H302" s="53" t="n"/>
      <c r="I302" s="54" t="n"/>
      <c r="J302" s="53" t="n"/>
      <c r="K302" s="53" t="n"/>
    </row>
    <row r="303">
      <c r="A303" s="53" t="n"/>
      <c r="B303" s="53" t="n"/>
      <c r="C303" s="53" t="n"/>
      <c r="D303" s="53" t="n"/>
      <c r="E303" s="53" t="n"/>
      <c r="F303" s="53" t="n"/>
      <c r="G303" s="42">
        <f>IF($F303="","",IF(ISNUMBER(SEARCH(",",$F303)),"Yes — checks ","Yes — check ")&amp;$F303)</f>
        <v/>
      </c>
      <c r="H303" s="53" t="n"/>
      <c r="I303" s="54" t="n"/>
      <c r="J303" s="53" t="n"/>
      <c r="K303" s="53" t="n"/>
    </row>
    <row r="304">
      <c r="A304" s="53" t="n"/>
      <c r="B304" s="53" t="n"/>
      <c r="C304" s="53" t="n"/>
      <c r="D304" s="53" t="n"/>
      <c r="E304" s="53" t="n"/>
      <c r="F304" s="53" t="n"/>
      <c r="G304" s="42">
        <f>IF($F304="","",IF(ISNUMBER(SEARCH(",",$F304)),"Yes — checks ","Yes — check ")&amp;$F304)</f>
        <v/>
      </c>
      <c r="H304" s="53" t="n"/>
      <c r="I304" s="54" t="n"/>
      <c r="J304" s="53" t="n"/>
      <c r="K304" s="53" t="n"/>
    </row>
    <row r="305">
      <c r="A305" s="53" t="n"/>
      <c r="B305" s="53" t="n"/>
      <c r="C305" s="53" t="n"/>
      <c r="D305" s="53" t="n"/>
      <c r="E305" s="53" t="n"/>
      <c r="F305" s="53" t="n"/>
      <c r="G305" s="42">
        <f>IF($F305="","",IF(ISNUMBER(SEARCH(",",$F305)),"Yes — checks ","Yes — check ")&amp;$F305)</f>
        <v/>
      </c>
      <c r="H305" s="53" t="n"/>
      <c r="I305" s="54" t="n"/>
      <c r="J305" s="53" t="n"/>
      <c r="K305" s="53" t="n"/>
    </row>
    <row r="306">
      <c r="A306" s="53" t="n"/>
      <c r="B306" s="53" t="n"/>
      <c r="C306" s="53" t="n"/>
      <c r="D306" s="53" t="n"/>
      <c r="E306" s="53" t="n"/>
      <c r="F306" s="53" t="n"/>
      <c r="G306" s="42">
        <f>IF($F306="","",IF(ISNUMBER(SEARCH(",",$F306)),"Yes — checks ","Yes — check ")&amp;$F306)</f>
        <v/>
      </c>
      <c r="H306" s="53" t="n"/>
      <c r="I306" s="54" t="n"/>
      <c r="J306" s="53" t="n"/>
      <c r="K306" s="53" t="n"/>
    </row>
    <row r="307">
      <c r="A307" s="53" t="n"/>
      <c r="B307" s="53" t="n"/>
      <c r="C307" s="53" t="n"/>
      <c r="D307" s="53" t="n"/>
      <c r="E307" s="53" t="n"/>
      <c r="F307" s="53" t="n"/>
      <c r="G307" s="42">
        <f>IF($F307="","",IF(ISNUMBER(SEARCH(",",$F307)),"Yes — checks ","Yes — check ")&amp;$F307)</f>
        <v/>
      </c>
      <c r="H307" s="53" t="n"/>
      <c r="I307" s="54" t="n"/>
      <c r="J307" s="53" t="n"/>
      <c r="K307" s="53" t="n"/>
    </row>
    <row r="308">
      <c r="A308" s="53" t="n"/>
      <c r="B308" s="53" t="n"/>
      <c r="C308" s="53" t="n"/>
      <c r="D308" s="53" t="n"/>
      <c r="E308" s="53" t="n"/>
      <c r="F308" s="53" t="n"/>
      <c r="G308" s="42">
        <f>IF($F308="","",IF(ISNUMBER(SEARCH(",",$F308)),"Yes — checks ","Yes — check ")&amp;$F308)</f>
        <v/>
      </c>
      <c r="H308" s="53" t="n"/>
      <c r="I308" s="54" t="n"/>
      <c r="J308" s="53" t="n"/>
      <c r="K308" s="53" t="n"/>
    </row>
    <row r="309">
      <c r="A309" s="53" t="n"/>
      <c r="B309" s="53" t="n"/>
      <c r="C309" s="53" t="n"/>
      <c r="D309" s="53" t="n"/>
      <c r="E309" s="53" t="n"/>
      <c r="F309" s="53" t="n"/>
      <c r="G309" s="42">
        <f>IF($F309="","",IF(ISNUMBER(SEARCH(",",$F309)),"Yes — checks ","Yes — check ")&amp;$F309)</f>
        <v/>
      </c>
      <c r="H309" s="53" t="n"/>
      <c r="I309" s="54" t="n"/>
      <c r="J309" s="53" t="n"/>
      <c r="K309" s="53" t="n"/>
    </row>
    <row r="310">
      <c r="A310" s="53" t="n"/>
      <c r="B310" s="53" t="n"/>
      <c r="C310" s="53" t="n"/>
      <c r="D310" s="53" t="n"/>
      <c r="E310" s="53" t="n"/>
      <c r="F310" s="53" t="n"/>
      <c r="G310" s="42">
        <f>IF($F310="","",IF(ISNUMBER(SEARCH(",",$F310)),"Yes — checks ","Yes — check ")&amp;$F310)</f>
        <v/>
      </c>
      <c r="H310" s="53" t="n"/>
      <c r="I310" s="54" t="n"/>
      <c r="J310" s="53" t="n"/>
      <c r="K310" s="53" t="n"/>
    </row>
    <row r="311">
      <c r="A311" s="53" t="n"/>
      <c r="B311" s="53" t="n"/>
      <c r="C311" s="53" t="n"/>
      <c r="D311" s="53" t="n"/>
      <c r="E311" s="53" t="n"/>
      <c r="F311" s="53" t="n"/>
      <c r="G311" s="42">
        <f>IF($F311="","",IF(ISNUMBER(SEARCH(",",$F311)),"Yes — checks ","Yes — check ")&amp;$F311)</f>
        <v/>
      </c>
      <c r="H311" s="53" t="n"/>
      <c r="I311" s="54" t="n"/>
      <c r="J311" s="53" t="n"/>
      <c r="K311" s="53" t="n"/>
    </row>
    <row r="312">
      <c r="A312" s="53" t="n"/>
      <c r="B312" s="53" t="n"/>
      <c r="C312" s="53" t="n"/>
      <c r="D312" s="53" t="n"/>
      <c r="E312" s="53" t="n"/>
      <c r="F312" s="53" t="n"/>
      <c r="G312" s="42">
        <f>IF($F312="","",IF(ISNUMBER(SEARCH(",",$F312)),"Yes — checks ","Yes — check ")&amp;$F312)</f>
        <v/>
      </c>
      <c r="H312" s="53" t="n"/>
      <c r="I312" s="54" t="n"/>
      <c r="J312" s="53" t="n"/>
      <c r="K312" s="53" t="n"/>
    </row>
    <row r="313">
      <c r="A313" s="53" t="n"/>
      <c r="B313" s="53" t="n"/>
      <c r="C313" s="53" t="n"/>
      <c r="D313" s="53" t="n"/>
      <c r="E313" s="53" t="n"/>
      <c r="F313" s="53" t="n"/>
      <c r="G313" s="42">
        <f>IF($F313="","",IF(ISNUMBER(SEARCH(",",$F313)),"Yes — checks ","Yes — check ")&amp;$F313)</f>
        <v/>
      </c>
      <c r="H313" s="53" t="n"/>
      <c r="I313" s="54" t="n"/>
      <c r="J313" s="53" t="n"/>
      <c r="K313" s="53" t="n"/>
    </row>
    <row r="314">
      <c r="A314" s="53" t="n"/>
      <c r="B314" s="53" t="n"/>
      <c r="C314" s="53" t="n"/>
      <c r="D314" s="53" t="n"/>
      <c r="E314" s="53" t="n"/>
      <c r="F314" s="53" t="n"/>
      <c r="G314" s="42">
        <f>IF($F314="","",IF(ISNUMBER(SEARCH(",",$F314)),"Yes — checks ","Yes — check ")&amp;$F314)</f>
        <v/>
      </c>
      <c r="H314" s="53" t="n"/>
      <c r="I314" s="54" t="n"/>
      <c r="J314" s="53" t="n"/>
      <c r="K314" s="53" t="n"/>
    </row>
    <row r="315">
      <c r="A315" s="53" t="n"/>
      <c r="B315" s="53" t="n"/>
      <c r="C315" s="53" t="n"/>
      <c r="D315" s="53" t="n"/>
      <c r="E315" s="53" t="n"/>
      <c r="F315" s="53" t="n"/>
      <c r="G315" s="42">
        <f>IF($F315="","",IF(ISNUMBER(SEARCH(",",$F315)),"Yes — checks ","Yes — check ")&amp;$F315)</f>
        <v/>
      </c>
      <c r="H315" s="53" t="n"/>
      <c r="I315" s="54" t="n"/>
      <c r="J315" s="53" t="n"/>
      <c r="K315" s="53" t="n"/>
    </row>
    <row r="316">
      <c r="A316" s="53" t="n"/>
      <c r="B316" s="53" t="n"/>
      <c r="C316" s="53" t="n"/>
      <c r="D316" s="53" t="n"/>
      <c r="E316" s="53" t="n"/>
      <c r="F316" s="53" t="n"/>
      <c r="G316" s="42">
        <f>IF($F316="","",IF(ISNUMBER(SEARCH(",",$F316)),"Yes — checks ","Yes — check ")&amp;$F316)</f>
        <v/>
      </c>
      <c r="H316" s="53" t="n"/>
      <c r="I316" s="54" t="n"/>
      <c r="J316" s="53" t="n"/>
      <c r="K316" s="53" t="n"/>
    </row>
    <row r="317">
      <c r="A317" s="53" t="n"/>
      <c r="B317" s="53" t="n"/>
      <c r="C317" s="53" t="n"/>
      <c r="D317" s="53" t="n"/>
      <c r="E317" s="53" t="n"/>
      <c r="F317" s="53" t="n"/>
      <c r="G317" s="42">
        <f>IF($F317="","",IF(ISNUMBER(SEARCH(",",$F317)),"Yes — checks ","Yes — check ")&amp;$F317)</f>
        <v/>
      </c>
      <c r="H317" s="53" t="n"/>
      <c r="I317" s="54" t="n"/>
      <c r="J317" s="53" t="n"/>
      <c r="K317" s="53" t="n"/>
    </row>
    <row r="318">
      <c r="A318" s="53" t="n"/>
      <c r="B318" s="53" t="n"/>
      <c r="C318" s="53" t="n"/>
      <c r="D318" s="53" t="n"/>
      <c r="E318" s="53" t="n"/>
      <c r="F318" s="53" t="n"/>
      <c r="G318" s="42">
        <f>IF($F318="","",IF(ISNUMBER(SEARCH(",",$F318)),"Yes — checks ","Yes — check ")&amp;$F318)</f>
        <v/>
      </c>
      <c r="H318" s="53" t="n"/>
      <c r="I318" s="54" t="n"/>
      <c r="J318" s="53" t="n"/>
      <c r="K318" s="53" t="n"/>
    </row>
    <row r="319">
      <c r="A319" s="53" t="n"/>
      <c r="B319" s="53" t="n"/>
      <c r="C319" s="53" t="n"/>
      <c r="D319" s="53" t="n"/>
      <c r="E319" s="53" t="n"/>
      <c r="F319" s="53" t="n"/>
      <c r="G319" s="42">
        <f>IF($F319="","",IF(ISNUMBER(SEARCH(",",$F319)),"Yes — checks ","Yes — check ")&amp;$F319)</f>
        <v/>
      </c>
      <c r="H319" s="53" t="n"/>
      <c r="I319" s="54" t="n"/>
      <c r="J319" s="53" t="n"/>
      <c r="K319" s="53" t="n"/>
    </row>
    <row r="320">
      <c r="A320" s="53" t="n"/>
      <c r="B320" s="53" t="n"/>
      <c r="C320" s="53" t="n"/>
      <c r="D320" s="53" t="n"/>
      <c r="E320" s="53" t="n"/>
      <c r="F320" s="53" t="n"/>
      <c r="G320" s="42">
        <f>IF($F320="","",IF(ISNUMBER(SEARCH(",",$F320)),"Yes — checks ","Yes — check ")&amp;$F320)</f>
        <v/>
      </c>
      <c r="H320" s="53" t="n"/>
      <c r="I320" s="54" t="n"/>
      <c r="J320" s="53" t="n"/>
      <c r="K320" s="53" t="n"/>
    </row>
    <row r="321">
      <c r="A321" s="53" t="n"/>
      <c r="B321" s="53" t="n"/>
      <c r="C321" s="53" t="n"/>
      <c r="D321" s="53" t="n"/>
      <c r="E321" s="53" t="n"/>
      <c r="F321" s="53" t="n"/>
      <c r="G321" s="42">
        <f>IF($F321="","",IF(ISNUMBER(SEARCH(",",$F321)),"Yes — checks ","Yes — check ")&amp;$F321)</f>
        <v/>
      </c>
      <c r="H321" s="53" t="n"/>
      <c r="I321" s="54" t="n"/>
      <c r="J321" s="53" t="n"/>
      <c r="K321" s="53" t="n"/>
    </row>
    <row r="322">
      <c r="A322" s="53" t="n"/>
      <c r="B322" s="53" t="n"/>
      <c r="C322" s="53" t="n"/>
      <c r="D322" s="53" t="n"/>
      <c r="E322" s="53" t="n"/>
      <c r="F322" s="53" t="n"/>
      <c r="G322" s="42">
        <f>IF($F322="","",IF(ISNUMBER(SEARCH(",",$F322)),"Yes — checks ","Yes — check ")&amp;$F322)</f>
        <v/>
      </c>
      <c r="H322" s="53" t="n"/>
      <c r="I322" s="54" t="n"/>
      <c r="J322" s="53" t="n"/>
      <c r="K322" s="53" t="n"/>
    </row>
    <row r="323">
      <c r="A323" s="53" t="n"/>
      <c r="B323" s="53" t="n"/>
      <c r="C323" s="53" t="n"/>
      <c r="D323" s="53" t="n"/>
      <c r="E323" s="53" t="n"/>
      <c r="F323" s="53" t="n"/>
      <c r="G323" s="42">
        <f>IF($F323="","",IF(ISNUMBER(SEARCH(",",$F323)),"Yes — checks ","Yes — check ")&amp;$F323)</f>
        <v/>
      </c>
      <c r="H323" s="53" t="n"/>
      <c r="I323" s="54" t="n"/>
      <c r="J323" s="53" t="n"/>
      <c r="K323" s="53" t="n"/>
    </row>
    <row r="324">
      <c r="A324" s="53" t="n"/>
      <c r="B324" s="53" t="n"/>
      <c r="C324" s="53" t="n"/>
      <c r="D324" s="53" t="n"/>
      <c r="E324" s="53" t="n"/>
      <c r="F324" s="53" t="n"/>
      <c r="G324" s="42">
        <f>IF($F324="","",IF(ISNUMBER(SEARCH(",",$F324)),"Yes — checks ","Yes — check ")&amp;$F324)</f>
        <v/>
      </c>
      <c r="H324" s="53" t="n"/>
      <c r="I324" s="54" t="n"/>
      <c r="J324" s="53" t="n"/>
      <c r="K324" s="53" t="n"/>
    </row>
    <row r="325">
      <c r="A325" s="53" t="n"/>
      <c r="B325" s="53" t="n"/>
      <c r="C325" s="53" t="n"/>
      <c r="D325" s="53" t="n"/>
      <c r="E325" s="53" t="n"/>
      <c r="F325" s="53" t="n"/>
      <c r="G325" s="42">
        <f>IF($F325="","",IF(ISNUMBER(SEARCH(",",$F325)),"Yes — checks ","Yes — check ")&amp;$F325)</f>
        <v/>
      </c>
      <c r="H325" s="53" t="n"/>
      <c r="I325" s="54" t="n"/>
      <c r="J325" s="53" t="n"/>
      <c r="K325" s="53" t="n"/>
    </row>
    <row r="326">
      <c r="A326" s="53" t="n"/>
      <c r="B326" s="53" t="n"/>
      <c r="C326" s="53" t="n"/>
      <c r="D326" s="53" t="n"/>
      <c r="E326" s="53" t="n"/>
      <c r="F326" s="53" t="n"/>
      <c r="G326" s="42">
        <f>IF($F326="","",IF(ISNUMBER(SEARCH(",",$F326)),"Yes — checks ","Yes — check ")&amp;$F326)</f>
        <v/>
      </c>
      <c r="H326" s="53" t="n"/>
      <c r="I326" s="54" t="n"/>
      <c r="J326" s="53" t="n"/>
      <c r="K326" s="53" t="n"/>
    </row>
    <row r="327">
      <c r="A327" s="53" t="n"/>
      <c r="B327" s="53" t="n"/>
      <c r="C327" s="53" t="n"/>
      <c r="D327" s="53" t="n"/>
      <c r="E327" s="53" t="n"/>
      <c r="F327" s="53" t="n"/>
      <c r="G327" s="42">
        <f>IF($F327="","",IF(ISNUMBER(SEARCH(",",$F327)),"Yes — checks ","Yes — check ")&amp;$F327)</f>
        <v/>
      </c>
      <c r="H327" s="53" t="n"/>
      <c r="I327" s="54" t="n"/>
      <c r="J327" s="53" t="n"/>
      <c r="K327" s="53" t="n"/>
    </row>
    <row r="328">
      <c r="A328" s="53" t="n"/>
      <c r="B328" s="53" t="n"/>
      <c r="C328" s="53" t="n"/>
      <c r="D328" s="53" t="n"/>
      <c r="E328" s="53" t="n"/>
      <c r="F328" s="53" t="n"/>
      <c r="G328" s="42">
        <f>IF($F328="","",IF(ISNUMBER(SEARCH(",",$F328)),"Yes — checks ","Yes — check ")&amp;$F328)</f>
        <v/>
      </c>
      <c r="H328" s="53" t="n"/>
      <c r="I328" s="54" t="n"/>
      <c r="J328" s="53" t="n"/>
      <c r="K328" s="53" t="n"/>
    </row>
    <row r="329">
      <c r="A329" s="53" t="n"/>
      <c r="B329" s="53" t="n"/>
      <c r="C329" s="53" t="n"/>
      <c r="D329" s="53" t="n"/>
      <c r="E329" s="53" t="n"/>
      <c r="F329" s="53" t="n"/>
      <c r="G329" s="42">
        <f>IF($F329="","",IF(ISNUMBER(SEARCH(",",$F329)),"Yes — checks ","Yes — check ")&amp;$F329)</f>
        <v/>
      </c>
      <c r="H329" s="53" t="n"/>
      <c r="I329" s="54" t="n"/>
      <c r="J329" s="53" t="n"/>
      <c r="K329" s="53" t="n"/>
    </row>
    <row r="330">
      <c r="A330" s="53" t="n"/>
      <c r="B330" s="53" t="n"/>
      <c r="C330" s="53" t="n"/>
      <c r="D330" s="53" t="n"/>
      <c r="E330" s="53" t="n"/>
      <c r="F330" s="53" t="n"/>
      <c r="G330" s="42">
        <f>IF($F330="","",IF(ISNUMBER(SEARCH(",",$F330)),"Yes — checks ","Yes — check ")&amp;$F330)</f>
        <v/>
      </c>
      <c r="H330" s="53" t="n"/>
      <c r="I330" s="54" t="n"/>
      <c r="J330" s="53" t="n"/>
      <c r="K330" s="53" t="n"/>
    </row>
    <row r="331">
      <c r="A331" s="53" t="n"/>
      <c r="B331" s="53" t="n"/>
      <c r="C331" s="53" t="n"/>
      <c r="D331" s="53" t="n"/>
      <c r="E331" s="53" t="n"/>
      <c r="F331" s="53" t="n"/>
      <c r="G331" s="42">
        <f>IF($F331="","",IF(ISNUMBER(SEARCH(",",$F331)),"Yes — checks ","Yes — check ")&amp;$F331)</f>
        <v/>
      </c>
      <c r="H331" s="53" t="n"/>
      <c r="I331" s="54" t="n"/>
      <c r="J331" s="53" t="n"/>
      <c r="K331" s="53" t="n"/>
    </row>
    <row r="332">
      <c r="A332" s="53" t="n"/>
      <c r="B332" s="53" t="n"/>
      <c r="C332" s="53" t="n"/>
      <c r="D332" s="53" t="n"/>
      <c r="E332" s="53" t="n"/>
      <c r="F332" s="53" t="n"/>
      <c r="G332" s="42">
        <f>IF($F332="","",IF(ISNUMBER(SEARCH(",",$F332)),"Yes — checks ","Yes — check ")&amp;$F332)</f>
        <v/>
      </c>
      <c r="H332" s="53" t="n"/>
      <c r="I332" s="54" t="n"/>
      <c r="J332" s="53" t="n"/>
      <c r="K332" s="53" t="n"/>
    </row>
    <row r="333">
      <c r="A333" s="53" t="n"/>
      <c r="B333" s="53" t="n"/>
      <c r="C333" s="53" t="n"/>
      <c r="D333" s="53" t="n"/>
      <c r="E333" s="53" t="n"/>
      <c r="F333" s="53" t="n"/>
      <c r="G333" s="42">
        <f>IF($F333="","",IF(ISNUMBER(SEARCH(",",$F333)),"Yes — checks ","Yes — check ")&amp;$F333)</f>
        <v/>
      </c>
      <c r="H333" s="53" t="n"/>
      <c r="I333" s="54" t="n"/>
      <c r="J333" s="53" t="n"/>
      <c r="K333" s="53" t="n"/>
    </row>
    <row r="334">
      <c r="A334" s="53" t="n"/>
      <c r="B334" s="53" t="n"/>
      <c r="C334" s="53" t="n"/>
      <c r="D334" s="53" t="n"/>
      <c r="E334" s="53" t="n"/>
      <c r="F334" s="53" t="n"/>
      <c r="G334" s="42">
        <f>IF($F334="","",IF(ISNUMBER(SEARCH(",",$F334)),"Yes — checks ","Yes — check ")&amp;$F334)</f>
        <v/>
      </c>
      <c r="H334" s="53" t="n"/>
      <c r="I334" s="54" t="n"/>
      <c r="J334" s="53" t="n"/>
      <c r="K334" s="53" t="n"/>
    </row>
    <row r="335">
      <c r="A335" s="53" t="n"/>
      <c r="B335" s="53" t="n"/>
      <c r="C335" s="53" t="n"/>
      <c r="D335" s="53" t="n"/>
      <c r="E335" s="53" t="n"/>
      <c r="F335" s="53" t="n"/>
      <c r="G335" s="42">
        <f>IF($F335="","",IF(ISNUMBER(SEARCH(",",$F335)),"Yes — checks ","Yes — check ")&amp;$F335)</f>
        <v/>
      </c>
      <c r="H335" s="53" t="n"/>
      <c r="I335" s="54" t="n"/>
      <c r="J335" s="53" t="n"/>
      <c r="K335" s="53" t="n"/>
    </row>
    <row r="336">
      <c r="A336" s="53" t="n"/>
      <c r="B336" s="53" t="n"/>
      <c r="C336" s="53" t="n"/>
      <c r="D336" s="53" t="n"/>
      <c r="E336" s="53" t="n"/>
      <c r="F336" s="53" t="n"/>
      <c r="G336" s="42">
        <f>IF($F336="","",IF(ISNUMBER(SEARCH(",",$F336)),"Yes — checks ","Yes — check ")&amp;$F336)</f>
        <v/>
      </c>
      <c r="H336" s="53" t="n"/>
      <c r="I336" s="54" t="n"/>
      <c r="J336" s="53" t="n"/>
      <c r="K336" s="53" t="n"/>
    </row>
    <row r="337">
      <c r="A337" s="53" t="n"/>
      <c r="B337" s="53" t="n"/>
      <c r="C337" s="53" t="n"/>
      <c r="D337" s="53" t="n"/>
      <c r="E337" s="53" t="n"/>
      <c r="F337" s="53" t="n"/>
      <c r="G337" s="42">
        <f>IF($F337="","",IF(ISNUMBER(SEARCH(",",$F337)),"Yes — checks ","Yes — check ")&amp;$F337)</f>
        <v/>
      </c>
      <c r="H337" s="53" t="n"/>
      <c r="I337" s="54" t="n"/>
      <c r="J337" s="53" t="n"/>
      <c r="K337" s="53" t="n"/>
    </row>
    <row r="338">
      <c r="A338" s="53" t="n"/>
      <c r="B338" s="53" t="n"/>
      <c r="C338" s="53" t="n"/>
      <c r="D338" s="53" t="n"/>
      <c r="E338" s="53" t="n"/>
      <c r="F338" s="53" t="n"/>
      <c r="G338" s="42">
        <f>IF($F338="","",IF(ISNUMBER(SEARCH(",",$F338)),"Yes — checks ","Yes — check ")&amp;$F338)</f>
        <v/>
      </c>
      <c r="H338" s="53" t="n"/>
      <c r="I338" s="54" t="n"/>
      <c r="J338" s="53" t="n"/>
      <c r="K338" s="53" t="n"/>
    </row>
    <row r="339">
      <c r="A339" s="53" t="n"/>
      <c r="B339" s="53" t="n"/>
      <c r="C339" s="53" t="n"/>
      <c r="D339" s="53" t="n"/>
      <c r="E339" s="53" t="n"/>
      <c r="F339" s="53" t="n"/>
      <c r="G339" s="42">
        <f>IF($F339="","",IF(ISNUMBER(SEARCH(",",$F339)),"Yes — checks ","Yes — check ")&amp;$F339)</f>
        <v/>
      </c>
      <c r="H339" s="53" t="n"/>
      <c r="I339" s="54" t="n"/>
      <c r="J339" s="53" t="n"/>
      <c r="K339" s="53" t="n"/>
    </row>
    <row r="340">
      <c r="A340" s="53" t="n"/>
      <c r="B340" s="53" t="n"/>
      <c r="C340" s="53" t="n"/>
      <c r="D340" s="53" t="n"/>
      <c r="E340" s="53" t="n"/>
      <c r="F340" s="53" t="n"/>
      <c r="G340" s="42">
        <f>IF($F340="","",IF(ISNUMBER(SEARCH(",",$F340)),"Yes — checks ","Yes — check ")&amp;$F340)</f>
        <v/>
      </c>
      <c r="H340" s="53" t="n"/>
      <c r="I340" s="54" t="n"/>
      <c r="J340" s="53" t="n"/>
      <c r="K340" s="53" t="n"/>
    </row>
    <row r="341">
      <c r="A341" s="53" t="n"/>
      <c r="B341" s="53" t="n"/>
      <c r="C341" s="53" t="n"/>
      <c r="D341" s="53" t="n"/>
      <c r="E341" s="53" t="n"/>
      <c r="F341" s="53" t="n"/>
      <c r="G341" s="42">
        <f>IF($F341="","",IF(ISNUMBER(SEARCH(",",$F341)),"Yes — checks ","Yes — check ")&amp;$F341)</f>
        <v/>
      </c>
      <c r="H341" s="53" t="n"/>
      <c r="I341" s="54" t="n"/>
      <c r="J341" s="53" t="n"/>
      <c r="K341" s="53" t="n"/>
    </row>
    <row r="342">
      <c r="A342" s="53" t="n"/>
      <c r="B342" s="53" t="n"/>
      <c r="C342" s="53" t="n"/>
      <c r="D342" s="53" t="n"/>
      <c r="E342" s="53" t="n"/>
      <c r="F342" s="53" t="n"/>
      <c r="G342" s="42">
        <f>IF($F342="","",IF(ISNUMBER(SEARCH(",",$F342)),"Yes — checks ","Yes — check ")&amp;$F342)</f>
        <v/>
      </c>
      <c r="H342" s="53" t="n"/>
      <c r="I342" s="54" t="n"/>
      <c r="J342" s="53" t="n"/>
      <c r="K342" s="53" t="n"/>
    </row>
    <row r="343">
      <c r="A343" s="53" t="n"/>
      <c r="B343" s="53" t="n"/>
      <c r="C343" s="53" t="n"/>
      <c r="D343" s="53" t="n"/>
      <c r="E343" s="53" t="n"/>
      <c r="F343" s="53" t="n"/>
      <c r="G343" s="42">
        <f>IF($F343="","",IF(ISNUMBER(SEARCH(",",$F343)),"Yes — checks ","Yes — check ")&amp;$F343)</f>
        <v/>
      </c>
      <c r="H343" s="53" t="n"/>
      <c r="I343" s="54" t="n"/>
      <c r="J343" s="53" t="n"/>
      <c r="K343" s="53" t="n"/>
    </row>
    <row r="344">
      <c r="A344" s="53" t="n"/>
      <c r="B344" s="53" t="n"/>
      <c r="C344" s="53" t="n"/>
      <c r="D344" s="53" t="n"/>
      <c r="E344" s="53" t="n"/>
      <c r="F344" s="53" t="n"/>
      <c r="G344" s="42">
        <f>IF($F344="","",IF(ISNUMBER(SEARCH(",",$F344)),"Yes — checks ","Yes — check ")&amp;$F344)</f>
        <v/>
      </c>
      <c r="H344" s="53" t="n"/>
      <c r="I344" s="54" t="n"/>
      <c r="J344" s="53" t="n"/>
      <c r="K344" s="53" t="n"/>
    </row>
    <row r="345">
      <c r="A345" s="53" t="n"/>
      <c r="B345" s="53" t="n"/>
      <c r="C345" s="53" t="n"/>
      <c r="D345" s="53" t="n"/>
      <c r="E345" s="53" t="n"/>
      <c r="F345" s="53" t="n"/>
      <c r="G345" s="42">
        <f>IF($F345="","",IF(ISNUMBER(SEARCH(",",$F345)),"Yes — checks ","Yes — check ")&amp;$F345)</f>
        <v/>
      </c>
      <c r="H345" s="53" t="n"/>
      <c r="I345" s="54" t="n"/>
      <c r="J345" s="53" t="n"/>
      <c r="K345" s="53" t="n"/>
    </row>
    <row r="346">
      <c r="A346" s="53" t="n"/>
      <c r="B346" s="53" t="n"/>
      <c r="C346" s="53" t="n"/>
      <c r="D346" s="53" t="n"/>
      <c r="E346" s="53" t="n"/>
      <c r="F346" s="53" t="n"/>
      <c r="G346" s="42">
        <f>IF($F346="","",IF(ISNUMBER(SEARCH(",",$F346)),"Yes — checks ","Yes — check ")&amp;$F346)</f>
        <v/>
      </c>
      <c r="H346" s="53" t="n"/>
      <c r="I346" s="54" t="n"/>
      <c r="J346" s="53" t="n"/>
      <c r="K346" s="53" t="n"/>
    </row>
    <row r="347">
      <c r="A347" s="53" t="n"/>
      <c r="B347" s="53" t="n"/>
      <c r="C347" s="53" t="n"/>
      <c r="D347" s="53" t="n"/>
      <c r="E347" s="53" t="n"/>
      <c r="F347" s="53" t="n"/>
      <c r="G347" s="42">
        <f>IF($F347="","",IF(ISNUMBER(SEARCH(",",$F347)),"Yes — checks ","Yes — check ")&amp;$F347)</f>
        <v/>
      </c>
      <c r="H347" s="53" t="n"/>
      <c r="I347" s="54" t="n"/>
      <c r="J347" s="53" t="n"/>
      <c r="K347" s="53" t="n"/>
    </row>
    <row r="348">
      <c r="A348" s="53" t="n"/>
      <c r="B348" s="53" t="n"/>
      <c r="C348" s="53" t="n"/>
      <c r="D348" s="53" t="n"/>
      <c r="E348" s="53" t="n"/>
      <c r="F348" s="53" t="n"/>
      <c r="G348" s="42">
        <f>IF($F348="","",IF(ISNUMBER(SEARCH(",",$F348)),"Yes — checks ","Yes — check ")&amp;$F348)</f>
        <v/>
      </c>
      <c r="H348" s="53" t="n"/>
      <c r="I348" s="54" t="n"/>
      <c r="J348" s="53" t="n"/>
      <c r="K348" s="53" t="n"/>
    </row>
    <row r="349">
      <c r="A349" s="53" t="n"/>
      <c r="B349" s="53" t="n"/>
      <c r="C349" s="53" t="n"/>
      <c r="D349" s="53" t="n"/>
      <c r="E349" s="53" t="n"/>
      <c r="F349" s="53" t="n"/>
      <c r="G349" s="42">
        <f>IF($F349="","",IF(ISNUMBER(SEARCH(",",$F349)),"Yes — checks ","Yes — check ")&amp;$F349)</f>
        <v/>
      </c>
      <c r="H349" s="53" t="n"/>
      <c r="I349" s="54" t="n"/>
      <c r="J349" s="53" t="n"/>
      <c r="K349" s="53" t="n"/>
    </row>
    <row r="350">
      <c r="A350" s="53" t="n"/>
      <c r="B350" s="53" t="n"/>
      <c r="C350" s="53" t="n"/>
      <c r="D350" s="53" t="n"/>
      <c r="E350" s="53" t="n"/>
      <c r="F350" s="53" t="n"/>
      <c r="G350" s="42">
        <f>IF($F350="","",IF(ISNUMBER(SEARCH(",",$F350)),"Yes — checks ","Yes — check ")&amp;$F350)</f>
        <v/>
      </c>
      <c r="H350" s="53" t="n"/>
      <c r="I350" s="54" t="n"/>
      <c r="J350" s="53" t="n"/>
      <c r="K350" s="53" t="n"/>
    </row>
    <row r="351">
      <c r="A351" s="53" t="n"/>
      <c r="B351" s="53" t="n"/>
      <c r="C351" s="53" t="n"/>
      <c r="D351" s="53" t="n"/>
      <c r="E351" s="53" t="n"/>
      <c r="F351" s="53" t="n"/>
      <c r="G351" s="42">
        <f>IF($F351="","",IF(ISNUMBER(SEARCH(",",$F351)),"Yes — checks ","Yes — check ")&amp;$F351)</f>
        <v/>
      </c>
      <c r="H351" s="53" t="n"/>
      <c r="I351" s="54" t="n"/>
      <c r="J351" s="53" t="n"/>
      <c r="K351" s="53" t="n"/>
    </row>
    <row r="352">
      <c r="A352" s="53" t="n"/>
      <c r="B352" s="53" t="n"/>
      <c r="C352" s="53" t="n"/>
      <c r="D352" s="53" t="n"/>
      <c r="E352" s="53" t="n"/>
      <c r="F352" s="53" t="n"/>
      <c r="G352" s="42">
        <f>IF($F352="","",IF(ISNUMBER(SEARCH(",",$F352)),"Yes — checks ","Yes — check ")&amp;$F352)</f>
        <v/>
      </c>
      <c r="H352" s="53" t="n"/>
      <c r="I352" s="54" t="n"/>
      <c r="J352" s="53" t="n"/>
      <c r="K352" s="53" t="n"/>
    </row>
    <row r="353">
      <c r="A353" s="53" t="n"/>
      <c r="B353" s="53" t="n"/>
      <c r="C353" s="53" t="n"/>
      <c r="D353" s="53" t="n"/>
      <c r="E353" s="53" t="n"/>
      <c r="F353" s="53" t="n"/>
      <c r="G353" s="42">
        <f>IF($F353="","",IF(ISNUMBER(SEARCH(",",$F353)),"Yes — checks ","Yes — check ")&amp;$F353)</f>
        <v/>
      </c>
      <c r="H353" s="53" t="n"/>
      <c r="I353" s="54" t="n"/>
      <c r="J353" s="53" t="n"/>
      <c r="K353" s="53" t="n"/>
    </row>
    <row r="354">
      <c r="A354" s="53" t="n"/>
      <c r="B354" s="53" t="n"/>
      <c r="C354" s="53" t="n"/>
      <c r="D354" s="53" t="n"/>
      <c r="E354" s="53" t="n"/>
      <c r="F354" s="53" t="n"/>
      <c r="G354" s="42">
        <f>IF($F354="","",IF(ISNUMBER(SEARCH(",",$F354)),"Yes — checks ","Yes — check ")&amp;$F354)</f>
        <v/>
      </c>
      <c r="H354" s="53" t="n"/>
      <c r="I354" s="54" t="n"/>
      <c r="J354" s="53" t="n"/>
      <c r="K354" s="53" t="n"/>
    </row>
    <row r="355">
      <c r="A355" s="53" t="n"/>
      <c r="B355" s="53" t="n"/>
      <c r="C355" s="53" t="n"/>
      <c r="D355" s="53" t="n"/>
      <c r="E355" s="53" t="n"/>
      <c r="F355" s="53" t="n"/>
      <c r="G355" s="42">
        <f>IF($F355="","",IF(ISNUMBER(SEARCH(",",$F355)),"Yes — checks ","Yes — check ")&amp;$F355)</f>
        <v/>
      </c>
      <c r="H355" s="53" t="n"/>
      <c r="I355" s="54" t="n"/>
      <c r="J355" s="53" t="n"/>
      <c r="K355" s="53" t="n"/>
    </row>
    <row r="356">
      <c r="A356" s="53" t="n"/>
      <c r="B356" s="53" t="n"/>
      <c r="C356" s="53" t="n"/>
      <c r="D356" s="53" t="n"/>
      <c r="E356" s="53" t="n"/>
      <c r="F356" s="53" t="n"/>
      <c r="G356" s="42">
        <f>IF($F356="","",IF(ISNUMBER(SEARCH(",",$F356)),"Yes — checks ","Yes — check ")&amp;$F356)</f>
        <v/>
      </c>
      <c r="H356" s="53" t="n"/>
      <c r="I356" s="54" t="n"/>
      <c r="J356" s="53" t="n"/>
      <c r="K356" s="53" t="n"/>
    </row>
    <row r="357">
      <c r="A357" s="53" t="n"/>
      <c r="B357" s="53" t="n"/>
      <c r="C357" s="53" t="n"/>
      <c r="D357" s="53" t="n"/>
      <c r="E357" s="53" t="n"/>
      <c r="F357" s="53" t="n"/>
      <c r="G357" s="42">
        <f>IF($F357="","",IF(ISNUMBER(SEARCH(",",$F357)),"Yes — checks ","Yes — check ")&amp;$F357)</f>
        <v/>
      </c>
      <c r="H357" s="53" t="n"/>
      <c r="I357" s="54" t="n"/>
      <c r="J357" s="53" t="n"/>
      <c r="K357" s="53" t="n"/>
    </row>
    <row r="358">
      <c r="A358" s="53" t="n"/>
      <c r="B358" s="53" t="n"/>
      <c r="C358" s="53" t="n"/>
      <c r="D358" s="53" t="n"/>
      <c r="E358" s="53" t="n"/>
      <c r="F358" s="53" t="n"/>
      <c r="G358" s="42">
        <f>IF($F358="","",IF(ISNUMBER(SEARCH(",",$F358)),"Yes — checks ","Yes — check ")&amp;$F358)</f>
        <v/>
      </c>
      <c r="H358" s="53" t="n"/>
      <c r="I358" s="54" t="n"/>
      <c r="J358" s="53" t="n"/>
      <c r="K358" s="53" t="n"/>
    </row>
    <row r="359">
      <c r="A359" s="53" t="n"/>
      <c r="B359" s="53" t="n"/>
      <c r="C359" s="53" t="n"/>
      <c r="D359" s="53" t="n"/>
      <c r="E359" s="53" t="n"/>
      <c r="F359" s="53" t="n"/>
      <c r="G359" s="42">
        <f>IF($F359="","",IF(ISNUMBER(SEARCH(",",$F359)),"Yes — checks ","Yes — check ")&amp;$F359)</f>
        <v/>
      </c>
      <c r="H359" s="53" t="n"/>
      <c r="I359" s="54" t="n"/>
      <c r="J359" s="53" t="n"/>
      <c r="K359" s="53" t="n"/>
    </row>
    <row r="360">
      <c r="A360" s="53" t="n"/>
      <c r="B360" s="53" t="n"/>
      <c r="C360" s="53" t="n"/>
      <c r="D360" s="53" t="n"/>
      <c r="E360" s="53" t="n"/>
      <c r="F360" s="53" t="n"/>
      <c r="G360" s="42">
        <f>IF($F360="","",IF(ISNUMBER(SEARCH(",",$F360)),"Yes — checks ","Yes — check ")&amp;$F360)</f>
        <v/>
      </c>
      <c r="H360" s="53" t="n"/>
      <c r="I360" s="54" t="n"/>
      <c r="J360" s="53" t="n"/>
      <c r="K360" s="53" t="n"/>
    </row>
    <row r="361">
      <c r="A361" s="53" t="n"/>
      <c r="B361" s="53" t="n"/>
      <c r="C361" s="53" t="n"/>
      <c r="D361" s="53" t="n"/>
      <c r="E361" s="53" t="n"/>
      <c r="F361" s="53" t="n"/>
      <c r="G361" s="42">
        <f>IF($F361="","",IF(ISNUMBER(SEARCH(",",$F361)),"Yes — checks ","Yes — check ")&amp;$F361)</f>
        <v/>
      </c>
      <c r="H361" s="53" t="n"/>
      <c r="I361" s="54" t="n"/>
      <c r="J361" s="53" t="n"/>
      <c r="K361" s="53" t="n"/>
    </row>
    <row r="362">
      <c r="A362" s="53" t="n"/>
      <c r="B362" s="53" t="n"/>
      <c r="C362" s="53" t="n"/>
      <c r="D362" s="53" t="n"/>
      <c r="E362" s="53" t="n"/>
      <c r="F362" s="53" t="n"/>
      <c r="G362" s="42">
        <f>IF($F362="","",IF(ISNUMBER(SEARCH(",",$F362)),"Yes — checks ","Yes — check ")&amp;$F362)</f>
        <v/>
      </c>
      <c r="H362" s="53" t="n"/>
      <c r="I362" s="54" t="n"/>
      <c r="J362" s="53" t="n"/>
      <c r="K362" s="53" t="n"/>
    </row>
    <row r="363">
      <c r="A363" s="53" t="n"/>
      <c r="B363" s="53" t="n"/>
      <c r="C363" s="53" t="n"/>
      <c r="D363" s="53" t="n"/>
      <c r="E363" s="53" t="n"/>
      <c r="F363" s="53" t="n"/>
      <c r="G363" s="42">
        <f>IF($F363="","",IF(ISNUMBER(SEARCH(",",$F363)),"Yes — checks ","Yes — check ")&amp;$F363)</f>
        <v/>
      </c>
      <c r="H363" s="53" t="n"/>
      <c r="I363" s="54" t="n"/>
      <c r="J363" s="53" t="n"/>
      <c r="K363" s="53" t="n"/>
    </row>
    <row r="364">
      <c r="A364" s="53" t="n"/>
      <c r="B364" s="53" t="n"/>
      <c r="C364" s="53" t="n"/>
      <c r="D364" s="53" t="n"/>
      <c r="E364" s="53" t="n"/>
      <c r="F364" s="53" t="n"/>
      <c r="G364" s="42">
        <f>IF($F364="","",IF(ISNUMBER(SEARCH(",",$F364)),"Yes — checks ","Yes — check ")&amp;$F364)</f>
        <v/>
      </c>
      <c r="H364" s="53" t="n"/>
      <c r="I364" s="54" t="n"/>
      <c r="J364" s="53" t="n"/>
      <c r="K364" s="53" t="n"/>
    </row>
    <row r="365">
      <c r="A365" s="53" t="n"/>
      <c r="B365" s="53" t="n"/>
      <c r="C365" s="53" t="n"/>
      <c r="D365" s="53" t="n"/>
      <c r="E365" s="53" t="n"/>
      <c r="F365" s="53" t="n"/>
      <c r="G365" s="42">
        <f>IF($F365="","",IF(ISNUMBER(SEARCH(",",$F365)),"Yes — checks ","Yes — check ")&amp;$F365)</f>
        <v/>
      </c>
      <c r="H365" s="53" t="n"/>
      <c r="I365" s="54" t="n"/>
      <c r="J365" s="53" t="n"/>
      <c r="K365" s="53" t="n"/>
    </row>
    <row r="366">
      <c r="A366" s="53" t="n"/>
      <c r="B366" s="53" t="n"/>
      <c r="C366" s="53" t="n"/>
      <c r="D366" s="53" t="n"/>
      <c r="E366" s="53" t="n"/>
      <c r="F366" s="53" t="n"/>
      <c r="G366" s="42">
        <f>IF($F366="","",IF(ISNUMBER(SEARCH(",",$F366)),"Yes — checks ","Yes — check ")&amp;$F366)</f>
        <v/>
      </c>
      <c r="H366" s="53" t="n"/>
      <c r="I366" s="54" t="n"/>
      <c r="J366" s="53" t="n"/>
      <c r="K366" s="53" t="n"/>
    </row>
    <row r="367">
      <c r="A367" s="53" t="n"/>
      <c r="B367" s="53" t="n"/>
      <c r="C367" s="53" t="n"/>
      <c r="D367" s="53" t="n"/>
      <c r="E367" s="53" t="n"/>
      <c r="F367" s="53" t="n"/>
      <c r="G367" s="42">
        <f>IF($F367="","",IF(ISNUMBER(SEARCH(",",$F367)),"Yes — checks ","Yes — check ")&amp;$F367)</f>
        <v/>
      </c>
      <c r="H367" s="53" t="n"/>
      <c r="I367" s="54" t="n"/>
      <c r="J367" s="53" t="n"/>
      <c r="K367" s="53" t="n"/>
    </row>
    <row r="368">
      <c r="A368" s="53" t="n"/>
      <c r="B368" s="53" t="n"/>
      <c r="C368" s="53" t="n"/>
      <c r="D368" s="53" t="n"/>
      <c r="E368" s="53" t="n"/>
      <c r="F368" s="53" t="n"/>
      <c r="G368" s="42">
        <f>IF($F368="","",IF(ISNUMBER(SEARCH(",",$F368)),"Yes — checks ","Yes — check ")&amp;$F368)</f>
        <v/>
      </c>
      <c r="H368" s="53" t="n"/>
      <c r="I368" s="54" t="n"/>
      <c r="J368" s="53" t="n"/>
      <c r="K368" s="53" t="n"/>
    </row>
    <row r="369">
      <c r="A369" s="53" t="n"/>
      <c r="B369" s="53" t="n"/>
      <c r="C369" s="53" t="n"/>
      <c r="D369" s="53" t="n"/>
      <c r="E369" s="53" t="n"/>
      <c r="F369" s="53" t="n"/>
      <c r="G369" s="42">
        <f>IF($F369="","",IF(ISNUMBER(SEARCH(",",$F369)),"Yes — checks ","Yes — check ")&amp;$F369)</f>
        <v/>
      </c>
      <c r="H369" s="53" t="n"/>
      <c r="I369" s="54" t="n"/>
      <c r="J369" s="53" t="n"/>
      <c r="K369" s="53" t="n"/>
    </row>
    <row r="370">
      <c r="A370" s="53" t="n"/>
      <c r="B370" s="53" t="n"/>
      <c r="C370" s="53" t="n"/>
      <c r="D370" s="53" t="n"/>
      <c r="E370" s="53" t="n"/>
      <c r="F370" s="53" t="n"/>
      <c r="G370" s="42">
        <f>IF($F370="","",IF(ISNUMBER(SEARCH(",",$F370)),"Yes — checks ","Yes — check ")&amp;$F370)</f>
        <v/>
      </c>
      <c r="H370" s="53" t="n"/>
      <c r="I370" s="54" t="n"/>
      <c r="J370" s="53" t="n"/>
      <c r="K370" s="53" t="n"/>
    </row>
    <row r="371">
      <c r="A371" s="53" t="n"/>
      <c r="B371" s="53" t="n"/>
      <c r="C371" s="53" t="n"/>
      <c r="D371" s="53" t="n"/>
      <c r="E371" s="53" t="n"/>
      <c r="F371" s="53" t="n"/>
      <c r="G371" s="42">
        <f>IF($F371="","",IF(ISNUMBER(SEARCH(",",$F371)),"Yes — checks ","Yes — check ")&amp;$F371)</f>
        <v/>
      </c>
      <c r="H371" s="53" t="n"/>
      <c r="I371" s="54" t="n"/>
      <c r="J371" s="53" t="n"/>
      <c r="K371" s="53" t="n"/>
    </row>
    <row r="372">
      <c r="A372" s="53" t="n"/>
      <c r="B372" s="53" t="n"/>
      <c r="C372" s="53" t="n"/>
      <c r="D372" s="53" t="n"/>
      <c r="E372" s="53" t="n"/>
      <c r="F372" s="53" t="n"/>
      <c r="G372" s="42">
        <f>IF($F372="","",IF(ISNUMBER(SEARCH(",",$F372)),"Yes — checks ","Yes — check ")&amp;$F372)</f>
        <v/>
      </c>
      <c r="H372" s="53" t="n"/>
      <c r="I372" s="54" t="n"/>
      <c r="J372" s="53" t="n"/>
      <c r="K372" s="53" t="n"/>
    </row>
    <row r="373">
      <c r="A373" s="53" t="n"/>
      <c r="B373" s="53" t="n"/>
      <c r="C373" s="53" t="n"/>
      <c r="D373" s="53" t="n"/>
      <c r="E373" s="53" t="n"/>
      <c r="F373" s="53" t="n"/>
      <c r="G373" s="42">
        <f>IF($F373="","",IF(ISNUMBER(SEARCH(",",$F373)),"Yes — checks ","Yes — check ")&amp;$F373)</f>
        <v/>
      </c>
      <c r="H373" s="53" t="n"/>
      <c r="I373" s="54" t="n"/>
      <c r="J373" s="53" t="n"/>
      <c r="K373" s="53" t="n"/>
    </row>
    <row r="374">
      <c r="A374" s="53" t="n"/>
      <c r="B374" s="53" t="n"/>
      <c r="C374" s="53" t="n"/>
      <c r="D374" s="53" t="n"/>
      <c r="E374" s="53" t="n"/>
      <c r="F374" s="53" t="n"/>
      <c r="G374" s="42">
        <f>IF($F374="","",IF(ISNUMBER(SEARCH(",",$F374)),"Yes — checks ","Yes — check ")&amp;$F374)</f>
        <v/>
      </c>
      <c r="H374" s="53" t="n"/>
      <c r="I374" s="54" t="n"/>
      <c r="J374" s="53" t="n"/>
      <c r="K374" s="53" t="n"/>
    </row>
    <row r="375">
      <c r="A375" s="53" t="n"/>
      <c r="B375" s="53" t="n"/>
      <c r="C375" s="53" t="n"/>
      <c r="D375" s="53" t="n"/>
      <c r="E375" s="53" t="n"/>
      <c r="F375" s="53" t="n"/>
      <c r="G375" s="42">
        <f>IF($F375="","",IF(ISNUMBER(SEARCH(",",$F375)),"Yes — checks ","Yes — check ")&amp;$F375)</f>
        <v/>
      </c>
      <c r="H375" s="53" t="n"/>
      <c r="I375" s="54" t="n"/>
      <c r="J375" s="53" t="n"/>
      <c r="K375" s="53" t="n"/>
    </row>
    <row r="376">
      <c r="A376" s="53" t="n"/>
      <c r="B376" s="53" t="n"/>
      <c r="C376" s="53" t="n"/>
      <c r="D376" s="53" t="n"/>
      <c r="E376" s="53" t="n"/>
      <c r="F376" s="53" t="n"/>
      <c r="G376" s="42">
        <f>IF($F376="","",IF(ISNUMBER(SEARCH(",",$F376)),"Yes — checks ","Yes — check ")&amp;$F376)</f>
        <v/>
      </c>
      <c r="H376" s="53" t="n"/>
      <c r="I376" s="54" t="n"/>
      <c r="J376" s="53" t="n"/>
      <c r="K376" s="53" t="n"/>
    </row>
    <row r="377">
      <c r="A377" s="53" t="n"/>
      <c r="B377" s="53" t="n"/>
      <c r="C377" s="53" t="n"/>
      <c r="D377" s="53" t="n"/>
      <c r="E377" s="53" t="n"/>
      <c r="F377" s="53" t="n"/>
      <c r="G377" s="42">
        <f>IF($F377="","",IF(ISNUMBER(SEARCH(",",$F377)),"Yes — checks ","Yes — check ")&amp;$F377)</f>
        <v/>
      </c>
      <c r="H377" s="53" t="n"/>
      <c r="I377" s="54" t="n"/>
      <c r="J377" s="53" t="n"/>
      <c r="K377" s="53" t="n"/>
    </row>
    <row r="378">
      <c r="A378" s="53" t="n"/>
      <c r="B378" s="53" t="n"/>
      <c r="C378" s="53" t="n"/>
      <c r="D378" s="53" t="n"/>
      <c r="E378" s="53" t="n"/>
      <c r="F378" s="53" t="n"/>
      <c r="G378" s="42">
        <f>IF($F378="","",IF(ISNUMBER(SEARCH(",",$F378)),"Yes — checks ","Yes — check ")&amp;$F378)</f>
        <v/>
      </c>
      <c r="H378" s="53" t="n"/>
      <c r="I378" s="54" t="n"/>
      <c r="J378" s="53" t="n"/>
      <c r="K378" s="53" t="n"/>
    </row>
    <row r="379">
      <c r="A379" s="53" t="n"/>
      <c r="B379" s="53" t="n"/>
      <c r="C379" s="53" t="n"/>
      <c r="D379" s="53" t="n"/>
      <c r="E379" s="53" t="n"/>
      <c r="F379" s="53" t="n"/>
      <c r="G379" s="42">
        <f>IF($F379="","",IF(ISNUMBER(SEARCH(",",$F379)),"Yes — checks ","Yes — check ")&amp;$F379)</f>
        <v/>
      </c>
      <c r="H379" s="53" t="n"/>
      <c r="I379" s="54" t="n"/>
      <c r="J379" s="53" t="n"/>
      <c r="K379" s="53" t="n"/>
    </row>
    <row r="380">
      <c r="A380" s="53" t="n"/>
      <c r="B380" s="53" t="n"/>
      <c r="C380" s="53" t="n"/>
      <c r="D380" s="53" t="n"/>
      <c r="E380" s="53" t="n"/>
      <c r="F380" s="53" t="n"/>
      <c r="G380" s="42">
        <f>IF($F380="","",IF(ISNUMBER(SEARCH(",",$F380)),"Yes — checks ","Yes — check ")&amp;$F380)</f>
        <v/>
      </c>
      <c r="H380" s="53" t="n"/>
      <c r="I380" s="54" t="n"/>
      <c r="J380" s="53" t="n"/>
      <c r="K380" s="53" t="n"/>
    </row>
    <row r="381">
      <c r="A381" s="53" t="n"/>
      <c r="B381" s="53" t="n"/>
      <c r="C381" s="53" t="n"/>
      <c r="D381" s="53" t="n"/>
      <c r="E381" s="53" t="n"/>
      <c r="F381" s="53" t="n"/>
      <c r="G381" s="42">
        <f>IF($F381="","",IF(ISNUMBER(SEARCH(",",$F381)),"Yes — checks ","Yes — check ")&amp;$F381)</f>
        <v/>
      </c>
      <c r="H381" s="53" t="n"/>
      <c r="I381" s="54" t="n"/>
      <c r="J381" s="53" t="n"/>
      <c r="K381" s="53" t="n"/>
    </row>
    <row r="382">
      <c r="A382" s="53" t="n"/>
      <c r="B382" s="53" t="n"/>
      <c r="C382" s="53" t="n"/>
      <c r="D382" s="53" t="n"/>
      <c r="E382" s="53" t="n"/>
      <c r="F382" s="53" t="n"/>
      <c r="G382" s="42">
        <f>IF($F382="","",IF(ISNUMBER(SEARCH(",",$F382)),"Yes — checks ","Yes — check ")&amp;$F382)</f>
        <v/>
      </c>
      <c r="H382" s="53" t="n"/>
      <c r="I382" s="54" t="n"/>
      <c r="J382" s="53" t="n"/>
      <c r="K382" s="53" t="n"/>
    </row>
    <row r="383">
      <c r="A383" s="53" t="n"/>
      <c r="B383" s="53" t="n"/>
      <c r="C383" s="53" t="n"/>
      <c r="D383" s="53" t="n"/>
      <c r="E383" s="53" t="n"/>
      <c r="F383" s="53" t="n"/>
      <c r="G383" s="42">
        <f>IF($F383="","",IF(ISNUMBER(SEARCH(",",$F383)),"Yes — checks ","Yes — check ")&amp;$F383)</f>
        <v/>
      </c>
      <c r="H383" s="53" t="n"/>
      <c r="I383" s="54" t="n"/>
      <c r="J383" s="53" t="n"/>
      <c r="K383" s="53" t="n"/>
    </row>
    <row r="384">
      <c r="A384" s="53" t="n"/>
      <c r="B384" s="53" t="n"/>
      <c r="C384" s="53" t="n"/>
      <c r="D384" s="53" t="n"/>
      <c r="E384" s="53" t="n"/>
      <c r="F384" s="53" t="n"/>
      <c r="G384" s="42">
        <f>IF($F384="","",IF(ISNUMBER(SEARCH(",",$F384)),"Yes — checks ","Yes — check ")&amp;$F384)</f>
        <v/>
      </c>
      <c r="H384" s="53" t="n"/>
      <c r="I384" s="54" t="n"/>
      <c r="J384" s="53" t="n"/>
      <c r="K384" s="53" t="n"/>
    </row>
    <row r="385">
      <c r="A385" s="53" t="n"/>
      <c r="B385" s="53" t="n"/>
      <c r="C385" s="53" t="n"/>
      <c r="D385" s="53" t="n"/>
      <c r="E385" s="53" t="n"/>
      <c r="F385" s="53" t="n"/>
      <c r="G385" s="42">
        <f>IF($F385="","",IF(ISNUMBER(SEARCH(",",$F385)),"Yes — checks ","Yes — check ")&amp;$F385)</f>
        <v/>
      </c>
      <c r="H385" s="53" t="n"/>
      <c r="I385" s="54" t="n"/>
      <c r="J385" s="53" t="n"/>
      <c r="K385" s="53" t="n"/>
    </row>
    <row r="386">
      <c r="A386" s="53" t="n"/>
      <c r="B386" s="53" t="n"/>
      <c r="C386" s="53" t="n"/>
      <c r="D386" s="53" t="n"/>
      <c r="E386" s="53" t="n"/>
      <c r="F386" s="53" t="n"/>
      <c r="G386" s="42">
        <f>IF($F386="","",IF(ISNUMBER(SEARCH(",",$F386)),"Yes — checks ","Yes — check ")&amp;$F386)</f>
        <v/>
      </c>
      <c r="H386" s="53" t="n"/>
      <c r="I386" s="54" t="n"/>
      <c r="J386" s="53" t="n"/>
      <c r="K386" s="53" t="n"/>
    </row>
    <row r="387">
      <c r="A387" s="53" t="n"/>
      <c r="B387" s="53" t="n"/>
      <c r="C387" s="53" t="n"/>
      <c r="D387" s="53" t="n"/>
      <c r="E387" s="53" t="n"/>
      <c r="F387" s="53" t="n"/>
      <c r="G387" s="42">
        <f>IF($F387="","",IF(ISNUMBER(SEARCH(",",$F387)),"Yes — checks ","Yes — check ")&amp;$F387)</f>
        <v/>
      </c>
      <c r="H387" s="53" t="n"/>
      <c r="I387" s="54" t="n"/>
      <c r="J387" s="53" t="n"/>
      <c r="K387" s="53" t="n"/>
    </row>
    <row r="388">
      <c r="A388" s="53" t="n"/>
      <c r="B388" s="53" t="n"/>
      <c r="C388" s="53" t="n"/>
      <c r="D388" s="53" t="n"/>
      <c r="E388" s="53" t="n"/>
      <c r="F388" s="53" t="n"/>
      <c r="G388" s="42">
        <f>IF($F388="","",IF(ISNUMBER(SEARCH(",",$F388)),"Yes — checks ","Yes — check ")&amp;$F388)</f>
        <v/>
      </c>
      <c r="H388" s="53" t="n"/>
      <c r="I388" s="54" t="n"/>
      <c r="J388" s="53" t="n"/>
      <c r="K388" s="53" t="n"/>
    </row>
    <row r="389">
      <c r="A389" s="53" t="n"/>
      <c r="B389" s="53" t="n"/>
      <c r="C389" s="53" t="n"/>
      <c r="D389" s="53" t="n"/>
      <c r="E389" s="53" t="n"/>
      <c r="F389" s="53" t="n"/>
      <c r="G389" s="42">
        <f>IF($F389="","",IF(ISNUMBER(SEARCH(",",$F389)),"Yes — checks ","Yes — check ")&amp;$F389)</f>
        <v/>
      </c>
      <c r="H389" s="53" t="n"/>
      <c r="I389" s="54" t="n"/>
      <c r="J389" s="53" t="n"/>
      <c r="K389" s="53" t="n"/>
    </row>
    <row r="390">
      <c r="A390" s="53" t="n"/>
      <c r="B390" s="53" t="n"/>
      <c r="C390" s="53" t="n"/>
      <c r="D390" s="53" t="n"/>
      <c r="E390" s="53" t="n"/>
      <c r="F390" s="53" t="n"/>
      <c r="G390" s="42">
        <f>IF($F390="","",IF(ISNUMBER(SEARCH(",",$F390)),"Yes — checks ","Yes — check ")&amp;$F390)</f>
        <v/>
      </c>
      <c r="H390" s="53" t="n"/>
      <c r="I390" s="54" t="n"/>
      <c r="J390" s="53" t="n"/>
      <c r="K390" s="53" t="n"/>
    </row>
    <row r="391">
      <c r="A391" s="53" t="n"/>
      <c r="B391" s="53" t="n"/>
      <c r="C391" s="53" t="n"/>
      <c r="D391" s="53" t="n"/>
      <c r="E391" s="53" t="n"/>
      <c r="F391" s="53" t="n"/>
      <c r="G391" s="42">
        <f>IF($F391="","",IF(ISNUMBER(SEARCH(",",$F391)),"Yes — checks ","Yes — check ")&amp;$F391)</f>
        <v/>
      </c>
      <c r="H391" s="53" t="n"/>
      <c r="I391" s="54" t="n"/>
      <c r="J391" s="53" t="n"/>
      <c r="K391" s="53" t="n"/>
    </row>
    <row r="392">
      <c r="A392" s="53" t="n"/>
      <c r="B392" s="53" t="n"/>
      <c r="C392" s="53" t="n"/>
      <c r="D392" s="53" t="n"/>
      <c r="E392" s="53" t="n"/>
      <c r="F392" s="53" t="n"/>
      <c r="G392" s="42">
        <f>IF($F392="","",IF(ISNUMBER(SEARCH(",",$F392)),"Yes — checks ","Yes — check ")&amp;$F392)</f>
        <v/>
      </c>
      <c r="H392" s="53" t="n"/>
      <c r="I392" s="54" t="n"/>
      <c r="J392" s="53" t="n"/>
      <c r="K392" s="53" t="n"/>
    </row>
    <row r="393">
      <c r="A393" s="53" t="n"/>
      <c r="B393" s="53" t="n"/>
      <c r="C393" s="53" t="n"/>
      <c r="D393" s="53" t="n"/>
      <c r="E393" s="53" t="n"/>
      <c r="F393" s="53" t="n"/>
      <c r="G393" s="42">
        <f>IF($F393="","",IF(ISNUMBER(SEARCH(",",$F393)),"Yes — checks ","Yes — check ")&amp;$F393)</f>
        <v/>
      </c>
      <c r="H393" s="53" t="n"/>
      <c r="I393" s="54" t="n"/>
      <c r="J393" s="53" t="n"/>
      <c r="K393" s="53" t="n"/>
    </row>
    <row r="394">
      <c r="A394" s="53" t="n"/>
      <c r="B394" s="53" t="n"/>
      <c r="C394" s="53" t="n"/>
      <c r="D394" s="53" t="n"/>
      <c r="E394" s="53" t="n"/>
      <c r="F394" s="53" t="n"/>
      <c r="G394" s="42">
        <f>IF($F394="","",IF(ISNUMBER(SEARCH(",",$F394)),"Yes — checks ","Yes — check ")&amp;$F394)</f>
        <v/>
      </c>
      <c r="H394" s="53" t="n"/>
      <c r="I394" s="54" t="n"/>
      <c r="J394" s="53" t="n"/>
      <c r="K394" s="53" t="n"/>
    </row>
    <row r="395">
      <c r="A395" s="53" t="n"/>
      <c r="B395" s="53" t="n"/>
      <c r="C395" s="53" t="n"/>
      <c r="D395" s="53" t="n"/>
      <c r="E395" s="53" t="n"/>
      <c r="F395" s="53" t="n"/>
      <c r="G395" s="42">
        <f>IF($F395="","",IF(ISNUMBER(SEARCH(",",$F395)),"Yes — checks ","Yes — check ")&amp;$F395)</f>
        <v/>
      </c>
      <c r="H395" s="53" t="n"/>
      <c r="I395" s="54" t="n"/>
      <c r="J395" s="53" t="n"/>
      <c r="K395" s="53" t="n"/>
    </row>
    <row r="396">
      <c r="A396" s="53" t="n"/>
      <c r="B396" s="53" t="n"/>
      <c r="C396" s="53" t="n"/>
      <c r="D396" s="53" t="n"/>
      <c r="E396" s="53" t="n"/>
      <c r="F396" s="53" t="n"/>
      <c r="G396" s="42">
        <f>IF($F396="","",IF(ISNUMBER(SEARCH(",",$F396)),"Yes — checks ","Yes — check ")&amp;$F396)</f>
        <v/>
      </c>
      <c r="H396" s="53" t="n"/>
      <c r="I396" s="54" t="n"/>
      <c r="J396" s="53" t="n"/>
      <c r="K396" s="53" t="n"/>
    </row>
    <row r="397">
      <c r="A397" s="53" t="n"/>
      <c r="B397" s="53" t="n"/>
      <c r="C397" s="53" t="n"/>
      <c r="D397" s="53" t="n"/>
      <c r="E397" s="53" t="n"/>
      <c r="F397" s="53" t="n"/>
      <c r="G397" s="42">
        <f>IF($F397="","",IF(ISNUMBER(SEARCH(",",$F397)),"Yes — checks ","Yes — check ")&amp;$F397)</f>
        <v/>
      </c>
      <c r="H397" s="53" t="n"/>
      <c r="I397" s="54" t="n"/>
      <c r="J397" s="53" t="n"/>
      <c r="K397" s="53" t="n"/>
    </row>
    <row r="398">
      <c r="A398" s="53" t="n"/>
      <c r="B398" s="53" t="n"/>
      <c r="C398" s="53" t="n"/>
      <c r="D398" s="53" t="n"/>
      <c r="E398" s="53" t="n"/>
      <c r="F398" s="53" t="n"/>
      <c r="G398" s="42">
        <f>IF($F398="","",IF(ISNUMBER(SEARCH(",",$F398)),"Yes — checks ","Yes — check ")&amp;$F398)</f>
        <v/>
      </c>
      <c r="H398" s="53" t="n"/>
      <c r="I398" s="54" t="n"/>
      <c r="J398" s="53" t="n"/>
      <c r="K398" s="53" t="n"/>
    </row>
    <row r="399">
      <c r="A399" s="53" t="n"/>
      <c r="B399" s="53" t="n"/>
      <c r="C399" s="53" t="n"/>
      <c r="D399" s="53" t="n"/>
      <c r="E399" s="53" t="n"/>
      <c r="F399" s="53" t="n"/>
      <c r="G399" s="42">
        <f>IF($F399="","",IF(ISNUMBER(SEARCH(",",$F399)),"Yes — checks ","Yes — check ")&amp;$F399)</f>
        <v/>
      </c>
      <c r="H399" s="53" t="n"/>
      <c r="I399" s="54" t="n"/>
      <c r="J399" s="53" t="n"/>
      <c r="K399" s="53" t="n"/>
    </row>
    <row r="400">
      <c r="A400" s="53" t="n"/>
      <c r="B400" s="53" t="n"/>
      <c r="C400" s="53" t="n"/>
      <c r="D400" s="53" t="n"/>
      <c r="E400" s="53" t="n"/>
      <c r="F400" s="53" t="n"/>
      <c r="G400" s="42">
        <f>IF($F400="","",IF(ISNUMBER(SEARCH(",",$F400)),"Yes — checks ","Yes — check ")&amp;$F400)</f>
        <v/>
      </c>
      <c r="H400" s="53" t="n"/>
      <c r="I400" s="54" t="n"/>
      <c r="J400" s="53" t="n"/>
      <c r="K400" s="53" t="n"/>
    </row>
    <row r="401">
      <c r="A401" s="53" t="n"/>
      <c r="B401" s="53" t="n"/>
      <c r="C401" s="53" t="n"/>
      <c r="D401" s="53" t="n"/>
      <c r="E401" s="53" t="n"/>
      <c r="F401" s="53" t="n"/>
      <c r="G401" s="42">
        <f>IF($F401="","",IF(ISNUMBER(SEARCH(",",$F401)),"Yes — checks ","Yes — check ")&amp;$F401)</f>
        <v/>
      </c>
      <c r="H401" s="53" t="n"/>
      <c r="I401" s="54" t="n"/>
      <c r="J401" s="53" t="n"/>
      <c r="K401" s="53" t="n"/>
    </row>
    <row r="402">
      <c r="A402" s="53" t="n"/>
      <c r="B402" s="53" t="n"/>
      <c r="C402" s="53" t="n"/>
      <c r="D402" s="53" t="n"/>
      <c r="E402" s="53" t="n"/>
      <c r="F402" s="53" t="n"/>
      <c r="G402" s="42">
        <f>IF($F402="","",IF(ISNUMBER(SEARCH(",",$F402)),"Yes — checks ","Yes — check ")&amp;$F402)</f>
        <v/>
      </c>
      <c r="H402" s="53" t="n"/>
      <c r="I402" s="54" t="n"/>
      <c r="J402" s="53" t="n"/>
      <c r="K402" s="53" t="n"/>
    </row>
    <row r="403">
      <c r="A403" s="53" t="n"/>
      <c r="B403" s="53" t="n"/>
      <c r="C403" s="53" t="n"/>
      <c r="D403" s="53" t="n"/>
      <c r="E403" s="53" t="n"/>
      <c r="F403" s="53" t="n"/>
      <c r="G403" s="42">
        <f>IF($F403="","",IF(ISNUMBER(SEARCH(",",$F403)),"Yes — checks ","Yes — check ")&amp;$F403)</f>
        <v/>
      </c>
      <c r="H403" s="53" t="n"/>
      <c r="I403" s="54" t="n"/>
      <c r="J403" s="53" t="n"/>
      <c r="K403" s="53" t="n"/>
    </row>
    <row r="404">
      <c r="A404" s="53" t="n"/>
      <c r="B404" s="53" t="n"/>
      <c r="C404" s="53" t="n"/>
      <c r="D404" s="53" t="n"/>
      <c r="E404" s="53" t="n"/>
      <c r="F404" s="53" t="n"/>
      <c r="G404" s="42">
        <f>IF($F404="","",IF(ISNUMBER(SEARCH(",",$F404)),"Yes — checks ","Yes — check ")&amp;$F404)</f>
        <v/>
      </c>
      <c r="H404" s="53" t="n"/>
      <c r="I404" s="54" t="n"/>
      <c r="J404" s="53" t="n"/>
      <c r="K404" s="53" t="n"/>
    </row>
    <row r="405">
      <c r="A405" s="53" t="n"/>
      <c r="B405" s="53" t="n"/>
      <c r="C405" s="53" t="n"/>
      <c r="D405" s="53" t="n"/>
      <c r="E405" s="53" t="n"/>
      <c r="F405" s="53" t="n"/>
      <c r="G405" s="42">
        <f>IF($F405="","",IF(ISNUMBER(SEARCH(",",$F405)),"Yes — checks ","Yes — check ")&amp;$F405)</f>
        <v/>
      </c>
      <c r="H405" s="53" t="n"/>
      <c r="I405" s="54" t="n"/>
      <c r="J405" s="53" t="n"/>
      <c r="K405" s="53" t="n"/>
    </row>
    <row r="406">
      <c r="A406" s="53" t="n"/>
      <c r="B406" s="53" t="n"/>
      <c r="C406" s="53" t="n"/>
      <c r="D406" s="53" t="n"/>
      <c r="E406" s="53" t="n"/>
      <c r="F406" s="53" t="n"/>
      <c r="G406" s="42">
        <f>IF($F406="","",IF(ISNUMBER(SEARCH(",",$F406)),"Yes — checks ","Yes — check ")&amp;$F406)</f>
        <v/>
      </c>
      <c r="H406" s="53" t="n"/>
      <c r="I406" s="54" t="n"/>
      <c r="J406" s="53" t="n"/>
      <c r="K406" s="53" t="n"/>
    </row>
    <row r="407">
      <c r="A407" s="53" t="n"/>
      <c r="B407" s="53" t="n"/>
      <c r="C407" s="53" t="n"/>
      <c r="D407" s="53" t="n"/>
      <c r="E407" s="53" t="n"/>
      <c r="F407" s="53" t="n"/>
      <c r="G407" s="42">
        <f>IF($F407="","",IF(ISNUMBER(SEARCH(",",$F407)),"Yes — checks ","Yes — check ")&amp;$F407)</f>
        <v/>
      </c>
      <c r="H407" s="53" t="n"/>
      <c r="I407" s="54" t="n"/>
      <c r="J407" s="53" t="n"/>
      <c r="K407" s="53" t="n"/>
    </row>
    <row r="408">
      <c r="A408" s="53" t="n"/>
      <c r="B408" s="53" t="n"/>
      <c r="C408" s="53" t="n"/>
      <c r="D408" s="53" t="n"/>
      <c r="E408" s="53" t="n"/>
      <c r="F408" s="53" t="n"/>
      <c r="G408" s="42">
        <f>IF($F408="","",IF(ISNUMBER(SEARCH(",",$F408)),"Yes — checks ","Yes — check ")&amp;$F408)</f>
        <v/>
      </c>
      <c r="H408" s="53" t="n"/>
      <c r="I408" s="54" t="n"/>
      <c r="J408" s="53" t="n"/>
      <c r="K408" s="53" t="n"/>
    </row>
    <row r="409">
      <c r="A409" s="53" t="n"/>
      <c r="B409" s="53" t="n"/>
      <c r="C409" s="53" t="n"/>
      <c r="D409" s="53" t="n"/>
      <c r="E409" s="53" t="n"/>
      <c r="F409" s="53" t="n"/>
      <c r="G409" s="42">
        <f>IF($F409="","",IF(ISNUMBER(SEARCH(",",$F409)),"Yes — checks ","Yes — check ")&amp;$F409)</f>
        <v/>
      </c>
      <c r="H409" s="53" t="n"/>
      <c r="I409" s="54" t="n"/>
      <c r="J409" s="53" t="n"/>
      <c r="K409" s="53" t="n"/>
    </row>
    <row r="410">
      <c r="A410" s="53" t="n"/>
      <c r="B410" s="53" t="n"/>
      <c r="C410" s="53" t="n"/>
      <c r="D410" s="53" t="n"/>
      <c r="E410" s="53" t="n"/>
      <c r="F410" s="53" t="n"/>
      <c r="G410" s="42">
        <f>IF($F410="","",IF(ISNUMBER(SEARCH(",",$F410)),"Yes — checks ","Yes — check ")&amp;$F410)</f>
        <v/>
      </c>
      <c r="H410" s="53" t="n"/>
      <c r="I410" s="54" t="n"/>
      <c r="J410" s="53" t="n"/>
      <c r="K410" s="53" t="n"/>
    </row>
    <row r="411">
      <c r="A411" s="53" t="n"/>
      <c r="B411" s="53" t="n"/>
      <c r="C411" s="53" t="n"/>
      <c r="D411" s="53" t="n"/>
      <c r="E411" s="53" t="n"/>
      <c r="F411" s="53" t="n"/>
      <c r="G411" s="42">
        <f>IF($F411="","",IF(ISNUMBER(SEARCH(",",$F411)),"Yes — checks ","Yes — check ")&amp;$F411)</f>
        <v/>
      </c>
      <c r="H411" s="53" t="n"/>
      <c r="I411" s="54" t="n"/>
      <c r="J411" s="53" t="n"/>
      <c r="K411" s="53" t="n"/>
    </row>
    <row r="412">
      <c r="A412" s="53" t="n"/>
      <c r="B412" s="53" t="n"/>
      <c r="C412" s="53" t="n"/>
      <c r="D412" s="53" t="n"/>
      <c r="E412" s="53" t="n"/>
      <c r="F412" s="53" t="n"/>
      <c r="G412" s="42">
        <f>IF($F412="","",IF(ISNUMBER(SEARCH(",",$F412)),"Yes — checks ","Yes — check ")&amp;$F412)</f>
        <v/>
      </c>
      <c r="H412" s="53" t="n"/>
      <c r="I412" s="54" t="n"/>
      <c r="J412" s="53" t="n"/>
      <c r="K412" s="53" t="n"/>
    </row>
    <row r="413">
      <c r="A413" s="53" t="n"/>
      <c r="B413" s="53" t="n"/>
      <c r="C413" s="53" t="n"/>
      <c r="D413" s="53" t="n"/>
      <c r="E413" s="53" t="n"/>
      <c r="F413" s="53" t="n"/>
      <c r="G413" s="42">
        <f>IF($F413="","",IF(ISNUMBER(SEARCH(",",$F413)),"Yes — checks ","Yes — check ")&amp;$F413)</f>
        <v/>
      </c>
      <c r="H413" s="53" t="n"/>
      <c r="I413" s="54" t="n"/>
      <c r="J413" s="53" t="n"/>
      <c r="K413" s="53" t="n"/>
    </row>
    <row r="414">
      <c r="A414" s="53" t="n"/>
      <c r="B414" s="53" t="n"/>
      <c r="C414" s="53" t="n"/>
      <c r="D414" s="53" t="n"/>
      <c r="E414" s="53" t="n"/>
      <c r="F414" s="53" t="n"/>
      <c r="G414" s="42">
        <f>IF($F414="","",IF(ISNUMBER(SEARCH(",",$F414)),"Yes — checks ","Yes — check ")&amp;$F414)</f>
        <v/>
      </c>
      <c r="H414" s="53" t="n"/>
      <c r="I414" s="54" t="n"/>
      <c r="J414" s="53" t="n"/>
      <c r="K414" s="53" t="n"/>
    </row>
    <row r="415">
      <c r="A415" s="53" t="n"/>
      <c r="B415" s="53" t="n"/>
      <c r="C415" s="53" t="n"/>
      <c r="D415" s="53" t="n"/>
      <c r="E415" s="53" t="n"/>
      <c r="F415" s="53" t="n"/>
      <c r="G415" s="42">
        <f>IF($F415="","",IF(ISNUMBER(SEARCH(",",$F415)),"Yes — checks ","Yes — check ")&amp;$F415)</f>
        <v/>
      </c>
      <c r="H415" s="53" t="n"/>
      <c r="I415" s="54" t="n"/>
      <c r="J415" s="53" t="n"/>
      <c r="K415" s="53" t="n"/>
    </row>
    <row r="416">
      <c r="A416" s="53" t="n"/>
      <c r="B416" s="53" t="n"/>
      <c r="C416" s="53" t="n"/>
      <c r="D416" s="53" t="n"/>
      <c r="E416" s="53" t="n"/>
      <c r="F416" s="53" t="n"/>
      <c r="G416" s="42">
        <f>IF($F416="","",IF(ISNUMBER(SEARCH(",",$F416)),"Yes — checks ","Yes — check ")&amp;$F416)</f>
        <v/>
      </c>
      <c r="H416" s="53" t="n"/>
      <c r="I416" s="54" t="n"/>
      <c r="J416" s="53" t="n"/>
      <c r="K416" s="53" t="n"/>
    </row>
    <row r="417">
      <c r="A417" s="53" t="n"/>
      <c r="B417" s="53" t="n"/>
      <c r="C417" s="53" t="n"/>
      <c r="D417" s="53" t="n"/>
      <c r="E417" s="53" t="n"/>
      <c r="F417" s="53" t="n"/>
      <c r="G417" s="42">
        <f>IF($F417="","",IF(ISNUMBER(SEARCH(",",$F417)),"Yes — checks ","Yes — check ")&amp;$F417)</f>
        <v/>
      </c>
      <c r="H417" s="53" t="n"/>
      <c r="I417" s="54" t="n"/>
      <c r="J417" s="53" t="n"/>
      <c r="K417" s="53" t="n"/>
    </row>
    <row r="418">
      <c r="A418" s="53" t="n"/>
      <c r="B418" s="53" t="n"/>
      <c r="C418" s="53" t="n"/>
      <c r="D418" s="53" t="n"/>
      <c r="E418" s="53" t="n"/>
      <c r="F418" s="53" t="n"/>
      <c r="G418" s="42">
        <f>IF($F418="","",IF(ISNUMBER(SEARCH(",",$F418)),"Yes — checks ","Yes — check ")&amp;$F418)</f>
        <v/>
      </c>
      <c r="H418" s="53" t="n"/>
      <c r="I418" s="54" t="n"/>
      <c r="J418" s="53" t="n"/>
      <c r="K418" s="53" t="n"/>
    </row>
    <row r="419">
      <c r="A419" s="53" t="n"/>
      <c r="B419" s="53" t="n"/>
      <c r="C419" s="53" t="n"/>
      <c r="D419" s="53" t="n"/>
      <c r="E419" s="53" t="n"/>
      <c r="F419" s="53" t="n"/>
      <c r="G419" s="42">
        <f>IF($F419="","",IF(ISNUMBER(SEARCH(",",$F419)),"Yes — checks ","Yes — check ")&amp;$F419)</f>
        <v/>
      </c>
      <c r="H419" s="53" t="n"/>
      <c r="I419" s="54" t="n"/>
      <c r="J419" s="53" t="n"/>
      <c r="K419" s="53" t="n"/>
    </row>
    <row r="420">
      <c r="A420" s="53" t="n"/>
      <c r="B420" s="53" t="n"/>
      <c r="C420" s="53" t="n"/>
      <c r="D420" s="53" t="n"/>
      <c r="E420" s="53" t="n"/>
      <c r="F420" s="53" t="n"/>
      <c r="G420" s="42">
        <f>IF($F420="","",IF(ISNUMBER(SEARCH(",",$F420)),"Yes — checks ","Yes — check ")&amp;$F420)</f>
        <v/>
      </c>
      <c r="H420" s="53" t="n"/>
      <c r="I420" s="54" t="n"/>
      <c r="J420" s="53" t="n"/>
      <c r="K420" s="53" t="n"/>
    </row>
    <row r="421">
      <c r="A421" s="53" t="n"/>
      <c r="B421" s="53" t="n"/>
      <c r="C421" s="53" t="n"/>
      <c r="D421" s="53" t="n"/>
      <c r="E421" s="53" t="n"/>
      <c r="F421" s="53" t="n"/>
      <c r="G421" s="42">
        <f>IF($F421="","",IF(ISNUMBER(SEARCH(",",$F421)),"Yes — checks ","Yes — check ")&amp;$F421)</f>
        <v/>
      </c>
      <c r="H421" s="53" t="n"/>
      <c r="I421" s="54" t="n"/>
      <c r="J421" s="53" t="n"/>
      <c r="K421" s="53" t="n"/>
    </row>
    <row r="422">
      <c r="A422" s="53" t="n"/>
      <c r="B422" s="53" t="n"/>
      <c r="C422" s="53" t="n"/>
      <c r="D422" s="53" t="n"/>
      <c r="E422" s="53" t="n"/>
      <c r="F422" s="53" t="n"/>
      <c r="G422" s="42">
        <f>IF($F422="","",IF(ISNUMBER(SEARCH(",",$F422)),"Yes — checks ","Yes — check ")&amp;$F422)</f>
        <v/>
      </c>
      <c r="H422" s="53" t="n"/>
      <c r="I422" s="54" t="n"/>
      <c r="J422" s="53" t="n"/>
      <c r="K422" s="53" t="n"/>
    </row>
    <row r="423">
      <c r="A423" s="53" t="n"/>
      <c r="B423" s="53" t="n"/>
      <c r="C423" s="53" t="n"/>
      <c r="D423" s="53" t="n"/>
      <c r="E423" s="53" t="n"/>
      <c r="F423" s="53" t="n"/>
      <c r="G423" s="42">
        <f>IF($F423="","",IF(ISNUMBER(SEARCH(",",$F423)),"Yes — checks ","Yes — check ")&amp;$F423)</f>
        <v/>
      </c>
      <c r="H423" s="53" t="n"/>
      <c r="I423" s="54" t="n"/>
      <c r="J423" s="53" t="n"/>
      <c r="K423" s="53" t="n"/>
    </row>
    <row r="424">
      <c r="A424" s="53" t="n"/>
      <c r="B424" s="53" t="n"/>
      <c r="C424" s="53" t="n"/>
      <c r="D424" s="53" t="n"/>
      <c r="E424" s="53" t="n"/>
      <c r="F424" s="53" t="n"/>
      <c r="G424" s="42">
        <f>IF($F424="","",IF(ISNUMBER(SEARCH(",",$F424)),"Yes — checks ","Yes — check ")&amp;$F424)</f>
        <v/>
      </c>
      <c r="H424" s="53" t="n"/>
      <c r="I424" s="54" t="n"/>
      <c r="J424" s="53" t="n"/>
      <c r="K424" s="53" t="n"/>
    </row>
    <row r="425">
      <c r="A425" s="53" t="n"/>
      <c r="B425" s="53" t="n"/>
      <c r="C425" s="53" t="n"/>
      <c r="D425" s="53" t="n"/>
      <c r="E425" s="53" t="n"/>
      <c r="F425" s="53" t="n"/>
      <c r="G425" s="42">
        <f>IF($F425="","",IF(ISNUMBER(SEARCH(",",$F425)),"Yes — checks ","Yes — check ")&amp;$F425)</f>
        <v/>
      </c>
      <c r="H425" s="53" t="n"/>
      <c r="I425" s="54" t="n"/>
      <c r="J425" s="53" t="n"/>
      <c r="K425" s="53" t="n"/>
    </row>
    <row r="426">
      <c r="A426" s="53" t="n"/>
      <c r="B426" s="53" t="n"/>
      <c r="C426" s="53" t="n"/>
      <c r="D426" s="53" t="n"/>
      <c r="E426" s="53" t="n"/>
      <c r="F426" s="53" t="n"/>
      <c r="G426" s="42">
        <f>IF($F426="","",IF(ISNUMBER(SEARCH(",",$F426)),"Yes — checks ","Yes — check ")&amp;$F426)</f>
        <v/>
      </c>
      <c r="H426" s="53" t="n"/>
      <c r="I426" s="54" t="n"/>
      <c r="J426" s="53" t="n"/>
      <c r="K426" s="53" t="n"/>
    </row>
    <row r="427">
      <c r="A427" s="53" t="n"/>
      <c r="B427" s="53" t="n"/>
      <c r="C427" s="53" t="n"/>
      <c r="D427" s="53" t="n"/>
      <c r="E427" s="53" t="n"/>
      <c r="F427" s="53" t="n"/>
      <c r="G427" s="42">
        <f>IF($F427="","",IF(ISNUMBER(SEARCH(",",$F427)),"Yes — checks ","Yes — check ")&amp;$F427)</f>
        <v/>
      </c>
      <c r="H427" s="53" t="n"/>
      <c r="I427" s="54" t="n"/>
      <c r="J427" s="53" t="n"/>
      <c r="K427" s="53" t="n"/>
    </row>
    <row r="428">
      <c r="A428" s="53" t="n"/>
      <c r="B428" s="53" t="n"/>
      <c r="C428" s="53" t="n"/>
      <c r="D428" s="53" t="n"/>
      <c r="E428" s="53" t="n"/>
      <c r="F428" s="53" t="n"/>
      <c r="G428" s="42">
        <f>IF($F428="","",IF(ISNUMBER(SEARCH(",",$F428)),"Yes — checks ","Yes — check ")&amp;$F428)</f>
        <v/>
      </c>
      <c r="H428" s="53" t="n"/>
      <c r="I428" s="54" t="n"/>
      <c r="J428" s="53" t="n"/>
      <c r="K428" s="53" t="n"/>
    </row>
    <row r="429">
      <c r="A429" s="53" t="n"/>
      <c r="B429" s="53" t="n"/>
      <c r="C429" s="53" t="n"/>
      <c r="D429" s="53" t="n"/>
      <c r="E429" s="53" t="n"/>
      <c r="F429" s="53" t="n"/>
      <c r="G429" s="42">
        <f>IF($F429="","",IF(ISNUMBER(SEARCH(",",$F429)),"Yes — checks ","Yes — check ")&amp;$F429)</f>
        <v/>
      </c>
      <c r="H429" s="53" t="n"/>
      <c r="I429" s="54" t="n"/>
      <c r="J429" s="53" t="n"/>
      <c r="K429" s="53" t="n"/>
    </row>
    <row r="430">
      <c r="A430" s="53" t="n"/>
      <c r="B430" s="53" t="n"/>
      <c r="C430" s="53" t="n"/>
      <c r="D430" s="53" t="n"/>
      <c r="E430" s="53" t="n"/>
      <c r="F430" s="53" t="n"/>
      <c r="G430" s="42">
        <f>IF($F430="","",IF(ISNUMBER(SEARCH(",",$F430)),"Yes — checks ","Yes — check ")&amp;$F430)</f>
        <v/>
      </c>
      <c r="H430" s="53" t="n"/>
      <c r="I430" s="54" t="n"/>
      <c r="J430" s="53" t="n"/>
      <c r="K430" s="53" t="n"/>
    </row>
    <row r="431">
      <c r="A431" s="53" t="n"/>
      <c r="B431" s="53" t="n"/>
      <c r="C431" s="53" t="n"/>
      <c r="D431" s="53" t="n"/>
      <c r="E431" s="53" t="n"/>
      <c r="F431" s="53" t="n"/>
      <c r="G431" s="42">
        <f>IF($F431="","",IF(ISNUMBER(SEARCH(",",$F431)),"Yes — checks ","Yes — check ")&amp;$F431)</f>
        <v/>
      </c>
      <c r="H431" s="53" t="n"/>
      <c r="I431" s="54" t="n"/>
      <c r="J431" s="53" t="n"/>
      <c r="K431" s="53" t="n"/>
    </row>
    <row r="432">
      <c r="A432" s="53" t="n"/>
      <c r="B432" s="53" t="n"/>
      <c r="C432" s="53" t="n"/>
      <c r="D432" s="53" t="n"/>
      <c r="E432" s="53" t="n"/>
      <c r="F432" s="53" t="n"/>
      <c r="G432" s="42">
        <f>IF($F432="","",IF(ISNUMBER(SEARCH(",",$F432)),"Yes — checks ","Yes — check ")&amp;$F432)</f>
        <v/>
      </c>
      <c r="H432" s="53" t="n"/>
      <c r="I432" s="54" t="n"/>
      <c r="J432" s="53" t="n"/>
      <c r="K432" s="53" t="n"/>
    </row>
    <row r="433">
      <c r="A433" s="53" t="n"/>
      <c r="B433" s="53" t="n"/>
      <c r="C433" s="53" t="n"/>
      <c r="D433" s="53" t="n"/>
      <c r="E433" s="53" t="n"/>
      <c r="F433" s="53" t="n"/>
      <c r="G433" s="42">
        <f>IF($F433="","",IF(ISNUMBER(SEARCH(",",$F433)),"Yes — checks ","Yes — check ")&amp;$F433)</f>
        <v/>
      </c>
      <c r="H433" s="53" t="n"/>
      <c r="I433" s="54" t="n"/>
      <c r="J433" s="53" t="n"/>
      <c r="K433" s="53" t="n"/>
    </row>
    <row r="434">
      <c r="A434" s="53" t="n"/>
      <c r="B434" s="53" t="n"/>
      <c r="C434" s="53" t="n"/>
      <c r="D434" s="53" t="n"/>
      <c r="E434" s="53" t="n"/>
      <c r="F434" s="53" t="n"/>
      <c r="G434" s="42">
        <f>IF($F434="","",IF(ISNUMBER(SEARCH(",",$F434)),"Yes — checks ","Yes — check ")&amp;$F434)</f>
        <v/>
      </c>
      <c r="H434" s="53" t="n"/>
      <c r="I434" s="54" t="n"/>
      <c r="J434" s="53" t="n"/>
      <c r="K434" s="53" t="n"/>
    </row>
    <row r="435">
      <c r="A435" s="53" t="n"/>
      <c r="B435" s="53" t="n"/>
      <c r="C435" s="53" t="n"/>
      <c r="D435" s="53" t="n"/>
      <c r="E435" s="53" t="n"/>
      <c r="F435" s="53" t="n"/>
      <c r="G435" s="42">
        <f>IF($F435="","",IF(ISNUMBER(SEARCH(",",$F435)),"Yes — checks ","Yes — check ")&amp;$F435)</f>
        <v/>
      </c>
      <c r="H435" s="53" t="n"/>
      <c r="I435" s="54" t="n"/>
      <c r="J435" s="53" t="n"/>
      <c r="K435" s="53" t="n"/>
    </row>
    <row r="436">
      <c r="A436" s="53" t="n"/>
      <c r="B436" s="53" t="n"/>
      <c r="C436" s="53" t="n"/>
      <c r="D436" s="53" t="n"/>
      <c r="E436" s="53" t="n"/>
      <c r="F436" s="53" t="n"/>
      <c r="G436" s="42">
        <f>IF($F436="","",IF(ISNUMBER(SEARCH(",",$F436)),"Yes — checks ","Yes — check ")&amp;$F436)</f>
        <v/>
      </c>
      <c r="H436" s="53" t="n"/>
      <c r="I436" s="54" t="n"/>
      <c r="J436" s="53" t="n"/>
      <c r="K436" s="53" t="n"/>
    </row>
    <row r="437">
      <c r="A437" s="53" t="n"/>
      <c r="B437" s="53" t="n"/>
      <c r="C437" s="53" t="n"/>
      <c r="D437" s="53" t="n"/>
      <c r="E437" s="53" t="n"/>
      <c r="F437" s="53" t="n"/>
      <c r="G437" s="42">
        <f>IF($F437="","",IF(ISNUMBER(SEARCH(",",$F437)),"Yes — checks ","Yes — check ")&amp;$F437)</f>
        <v/>
      </c>
      <c r="H437" s="53" t="n"/>
      <c r="I437" s="54" t="n"/>
      <c r="J437" s="53" t="n"/>
      <c r="K437" s="53" t="n"/>
    </row>
    <row r="438">
      <c r="A438" s="53" t="n"/>
      <c r="B438" s="53" t="n"/>
      <c r="C438" s="53" t="n"/>
      <c r="D438" s="53" t="n"/>
      <c r="E438" s="53" t="n"/>
      <c r="F438" s="53" t="n"/>
      <c r="G438" s="42">
        <f>IF($F438="","",IF(ISNUMBER(SEARCH(",",$F438)),"Yes — checks ","Yes — check ")&amp;$F438)</f>
        <v/>
      </c>
      <c r="H438" s="53" t="n"/>
      <c r="I438" s="54" t="n"/>
      <c r="J438" s="53" t="n"/>
      <c r="K438" s="53" t="n"/>
    </row>
    <row r="439">
      <c r="A439" s="53" t="n"/>
      <c r="B439" s="53" t="n"/>
      <c r="C439" s="53" t="n"/>
      <c r="D439" s="53" t="n"/>
      <c r="E439" s="53" t="n"/>
      <c r="F439" s="53" t="n"/>
      <c r="G439" s="42">
        <f>IF($F439="","",IF(ISNUMBER(SEARCH(",",$F439)),"Yes — checks ","Yes — check ")&amp;$F439)</f>
        <v/>
      </c>
      <c r="H439" s="53" t="n"/>
      <c r="I439" s="54" t="n"/>
      <c r="J439" s="53" t="n"/>
      <c r="K439" s="53" t="n"/>
    </row>
    <row r="440">
      <c r="A440" s="53" t="n"/>
      <c r="B440" s="53" t="n"/>
      <c r="C440" s="53" t="n"/>
      <c r="D440" s="53" t="n"/>
      <c r="E440" s="53" t="n"/>
      <c r="F440" s="53" t="n"/>
      <c r="G440" s="42">
        <f>IF($F440="","",IF(ISNUMBER(SEARCH(",",$F440)),"Yes — checks ","Yes — check ")&amp;$F440)</f>
        <v/>
      </c>
      <c r="H440" s="53" t="n"/>
      <c r="I440" s="54" t="n"/>
      <c r="J440" s="53" t="n"/>
      <c r="K440" s="53" t="n"/>
    </row>
    <row r="441">
      <c r="A441" s="53" t="n"/>
      <c r="B441" s="53" t="n"/>
      <c r="C441" s="53" t="n"/>
      <c r="D441" s="53" t="n"/>
      <c r="E441" s="53" t="n"/>
      <c r="F441" s="53" t="n"/>
      <c r="G441" s="42">
        <f>IF($F441="","",IF(ISNUMBER(SEARCH(",",$F441)),"Yes — checks ","Yes — check ")&amp;$F441)</f>
        <v/>
      </c>
      <c r="H441" s="53" t="n"/>
      <c r="I441" s="54" t="n"/>
      <c r="J441" s="53" t="n"/>
      <c r="K441" s="53" t="n"/>
    </row>
    <row r="442">
      <c r="A442" s="53" t="n"/>
      <c r="B442" s="53" t="n"/>
      <c r="C442" s="53" t="n"/>
      <c r="D442" s="53" t="n"/>
      <c r="E442" s="53" t="n"/>
      <c r="F442" s="53" t="n"/>
      <c r="G442" s="42">
        <f>IF($F442="","",IF(ISNUMBER(SEARCH(",",$F442)),"Yes — checks ","Yes — check ")&amp;$F442)</f>
        <v/>
      </c>
      <c r="H442" s="53" t="n"/>
      <c r="I442" s="54" t="n"/>
      <c r="J442" s="53" t="n"/>
      <c r="K442" s="53" t="n"/>
    </row>
    <row r="443">
      <c r="A443" s="53" t="n"/>
      <c r="B443" s="53" t="n"/>
      <c r="C443" s="53" t="n"/>
      <c r="D443" s="53" t="n"/>
      <c r="E443" s="53" t="n"/>
      <c r="F443" s="53" t="n"/>
      <c r="G443" s="42">
        <f>IF($F443="","",IF(ISNUMBER(SEARCH(",",$F443)),"Yes — checks ","Yes — check ")&amp;$F443)</f>
        <v/>
      </c>
      <c r="H443" s="53" t="n"/>
      <c r="I443" s="54" t="n"/>
      <c r="J443" s="53" t="n"/>
      <c r="K443" s="53" t="n"/>
    </row>
    <row r="444">
      <c r="A444" s="53" t="n"/>
      <c r="B444" s="53" t="n"/>
      <c r="C444" s="53" t="n"/>
      <c r="D444" s="53" t="n"/>
      <c r="E444" s="53" t="n"/>
      <c r="F444" s="53" t="n"/>
      <c r="G444" s="42">
        <f>IF($F444="","",IF(ISNUMBER(SEARCH(",",$F444)),"Yes — checks ","Yes — check ")&amp;$F444)</f>
        <v/>
      </c>
      <c r="H444" s="53" t="n"/>
      <c r="I444" s="54" t="n"/>
      <c r="J444" s="53" t="n"/>
      <c r="K444" s="53" t="n"/>
    </row>
    <row r="445">
      <c r="A445" s="53" t="n"/>
      <c r="B445" s="53" t="n"/>
      <c r="C445" s="53" t="n"/>
      <c r="D445" s="53" t="n"/>
      <c r="E445" s="53" t="n"/>
      <c r="F445" s="53" t="n"/>
      <c r="G445" s="42">
        <f>IF($F445="","",IF(ISNUMBER(SEARCH(",",$F445)),"Yes — checks ","Yes — check ")&amp;$F445)</f>
        <v/>
      </c>
      <c r="H445" s="53" t="n"/>
      <c r="I445" s="54" t="n"/>
      <c r="J445" s="53" t="n"/>
      <c r="K445" s="53" t="n"/>
    </row>
    <row r="446">
      <c r="A446" s="53" t="n"/>
      <c r="B446" s="53" t="n"/>
      <c r="C446" s="53" t="n"/>
      <c r="D446" s="53" t="n"/>
      <c r="E446" s="53" t="n"/>
      <c r="F446" s="53" t="n"/>
      <c r="G446" s="42">
        <f>IF($F446="","",IF(ISNUMBER(SEARCH(",",$F446)),"Yes — checks ","Yes — check ")&amp;$F446)</f>
        <v/>
      </c>
      <c r="H446" s="53" t="n"/>
      <c r="I446" s="54" t="n"/>
      <c r="J446" s="53" t="n"/>
      <c r="K446" s="53" t="n"/>
    </row>
    <row r="447">
      <c r="A447" s="53" t="n"/>
      <c r="B447" s="53" t="n"/>
      <c r="C447" s="53" t="n"/>
      <c r="D447" s="53" t="n"/>
      <c r="E447" s="53" t="n"/>
      <c r="F447" s="53" t="n"/>
      <c r="G447" s="42">
        <f>IF($F447="","",IF(ISNUMBER(SEARCH(",",$F447)),"Yes — checks ","Yes — check ")&amp;$F447)</f>
        <v/>
      </c>
      <c r="H447" s="53" t="n"/>
      <c r="I447" s="54" t="n"/>
      <c r="J447" s="53" t="n"/>
      <c r="K447" s="53" t="n"/>
    </row>
    <row r="448">
      <c r="A448" s="53" t="n"/>
      <c r="B448" s="53" t="n"/>
      <c r="C448" s="53" t="n"/>
      <c r="D448" s="53" t="n"/>
      <c r="E448" s="53" t="n"/>
      <c r="F448" s="53" t="n"/>
      <c r="G448" s="42">
        <f>IF($F448="","",IF(ISNUMBER(SEARCH(",",$F448)),"Yes — checks ","Yes — check ")&amp;$F448)</f>
        <v/>
      </c>
      <c r="H448" s="53" t="n"/>
      <c r="I448" s="54" t="n"/>
      <c r="J448" s="53" t="n"/>
      <c r="K448" s="53" t="n"/>
    </row>
    <row r="449">
      <c r="A449" s="53" t="n"/>
      <c r="B449" s="53" t="n"/>
      <c r="C449" s="53" t="n"/>
      <c r="D449" s="53" t="n"/>
      <c r="E449" s="53" t="n"/>
      <c r="F449" s="53" t="n"/>
      <c r="G449" s="42">
        <f>IF($F449="","",IF(ISNUMBER(SEARCH(",",$F449)),"Yes — checks ","Yes — check ")&amp;$F449)</f>
        <v/>
      </c>
      <c r="H449" s="53" t="n"/>
      <c r="I449" s="54" t="n"/>
      <c r="J449" s="53" t="n"/>
      <c r="K449" s="53" t="n"/>
    </row>
    <row r="450">
      <c r="A450" s="53" t="n"/>
      <c r="B450" s="53" t="n"/>
      <c r="C450" s="53" t="n"/>
      <c r="D450" s="53" t="n"/>
      <c r="E450" s="53" t="n"/>
      <c r="F450" s="53" t="n"/>
      <c r="G450" s="42">
        <f>IF($F450="","",IF(ISNUMBER(SEARCH(",",$F450)),"Yes — checks ","Yes — check ")&amp;$F450)</f>
        <v/>
      </c>
      <c r="H450" s="53" t="n"/>
      <c r="I450" s="54" t="n"/>
      <c r="J450" s="53" t="n"/>
      <c r="K450" s="53" t="n"/>
    </row>
    <row r="451">
      <c r="A451" s="53" t="n"/>
      <c r="B451" s="53" t="n"/>
      <c r="C451" s="53" t="n"/>
      <c r="D451" s="53" t="n"/>
      <c r="E451" s="53" t="n"/>
      <c r="F451" s="53" t="n"/>
      <c r="G451" s="42">
        <f>IF($F451="","",IF(ISNUMBER(SEARCH(",",$F451)),"Yes — checks ","Yes — check ")&amp;$F451)</f>
        <v/>
      </c>
      <c r="H451" s="53" t="n"/>
      <c r="I451" s="54" t="n"/>
      <c r="J451" s="53" t="n"/>
      <c r="K451" s="53" t="n"/>
    </row>
    <row r="452">
      <c r="A452" s="53" t="n"/>
      <c r="B452" s="53" t="n"/>
      <c r="C452" s="53" t="n"/>
      <c r="D452" s="53" t="n"/>
      <c r="E452" s="53" t="n"/>
      <c r="F452" s="53" t="n"/>
      <c r="G452" s="42">
        <f>IF($F452="","",IF(ISNUMBER(SEARCH(",",$F452)),"Yes — checks ","Yes — check ")&amp;$F452)</f>
        <v/>
      </c>
      <c r="H452" s="53" t="n"/>
      <c r="I452" s="54" t="n"/>
      <c r="J452" s="53" t="n"/>
      <c r="K452" s="53" t="n"/>
    </row>
    <row r="453">
      <c r="A453" s="53" t="n"/>
      <c r="B453" s="53" t="n"/>
      <c r="C453" s="53" t="n"/>
      <c r="D453" s="53" t="n"/>
      <c r="E453" s="53" t="n"/>
      <c r="F453" s="53" t="n"/>
      <c r="G453" s="42">
        <f>IF($F453="","",IF(ISNUMBER(SEARCH(",",$F453)),"Yes — checks ","Yes — check ")&amp;$F453)</f>
        <v/>
      </c>
      <c r="H453" s="53" t="n"/>
      <c r="I453" s="54" t="n"/>
      <c r="J453" s="53" t="n"/>
      <c r="K453" s="53" t="n"/>
    </row>
    <row r="454">
      <c r="A454" s="53" t="n"/>
      <c r="B454" s="53" t="n"/>
      <c r="C454" s="53" t="n"/>
      <c r="D454" s="53" t="n"/>
      <c r="E454" s="53" t="n"/>
      <c r="F454" s="53" t="n"/>
      <c r="G454" s="42">
        <f>IF($F454="","",IF(ISNUMBER(SEARCH(",",$F454)),"Yes — checks ","Yes — check ")&amp;$F454)</f>
        <v/>
      </c>
      <c r="H454" s="53" t="n"/>
      <c r="I454" s="54" t="n"/>
      <c r="J454" s="53" t="n"/>
      <c r="K454" s="53" t="n"/>
    </row>
    <row r="455">
      <c r="A455" s="53" t="n"/>
      <c r="B455" s="53" t="n"/>
      <c r="C455" s="53" t="n"/>
      <c r="D455" s="53" t="n"/>
      <c r="E455" s="53" t="n"/>
      <c r="F455" s="53" t="n"/>
      <c r="G455" s="42">
        <f>IF($F455="","",IF(ISNUMBER(SEARCH(",",$F455)),"Yes — checks ","Yes — check ")&amp;$F455)</f>
        <v/>
      </c>
      <c r="H455" s="53" t="n"/>
      <c r="I455" s="54" t="n"/>
      <c r="J455" s="53" t="n"/>
      <c r="K455" s="53" t="n"/>
    </row>
    <row r="456">
      <c r="A456" s="53" t="n"/>
      <c r="B456" s="53" t="n"/>
      <c r="C456" s="53" t="n"/>
      <c r="D456" s="53" t="n"/>
      <c r="E456" s="53" t="n"/>
      <c r="F456" s="53" t="n"/>
      <c r="G456" s="42">
        <f>IF($F456="","",IF(ISNUMBER(SEARCH(",",$F456)),"Yes — checks ","Yes — check ")&amp;$F456)</f>
        <v/>
      </c>
      <c r="H456" s="53" t="n"/>
      <c r="I456" s="54" t="n"/>
      <c r="J456" s="53" t="n"/>
      <c r="K456" s="53" t="n"/>
    </row>
    <row r="457">
      <c r="A457" s="53" t="n"/>
      <c r="B457" s="53" t="n"/>
      <c r="C457" s="53" t="n"/>
      <c r="D457" s="53" t="n"/>
      <c r="E457" s="53" t="n"/>
      <c r="F457" s="53" t="n"/>
      <c r="G457" s="42">
        <f>IF($F457="","",IF(ISNUMBER(SEARCH(",",$F457)),"Yes — checks ","Yes — check ")&amp;$F457)</f>
        <v/>
      </c>
      <c r="H457" s="53" t="n"/>
      <c r="I457" s="54" t="n"/>
      <c r="J457" s="53" t="n"/>
      <c r="K457" s="53" t="n"/>
    </row>
    <row r="458">
      <c r="A458" s="53" t="n"/>
      <c r="B458" s="53" t="n"/>
      <c r="C458" s="53" t="n"/>
      <c r="D458" s="53" t="n"/>
      <c r="E458" s="53" t="n"/>
      <c r="F458" s="53" t="n"/>
      <c r="G458" s="42">
        <f>IF($F458="","",IF(ISNUMBER(SEARCH(",",$F458)),"Yes — checks ","Yes — check ")&amp;$F458)</f>
        <v/>
      </c>
      <c r="H458" s="53" t="n"/>
      <c r="I458" s="54" t="n"/>
      <c r="J458" s="53" t="n"/>
      <c r="K458" s="53" t="n"/>
    </row>
    <row r="459">
      <c r="A459" s="53" t="n"/>
      <c r="B459" s="53" t="n"/>
      <c r="C459" s="53" t="n"/>
      <c r="D459" s="53" t="n"/>
      <c r="E459" s="53" t="n"/>
      <c r="F459" s="53" t="n"/>
      <c r="G459" s="42">
        <f>IF($F459="","",IF(ISNUMBER(SEARCH(",",$F459)),"Yes — checks ","Yes — check ")&amp;$F459)</f>
        <v/>
      </c>
      <c r="H459" s="53" t="n"/>
      <c r="I459" s="54" t="n"/>
      <c r="J459" s="53" t="n"/>
      <c r="K459" s="53" t="n"/>
    </row>
    <row r="460">
      <c r="A460" s="53" t="n"/>
      <c r="B460" s="53" t="n"/>
      <c r="C460" s="53" t="n"/>
      <c r="D460" s="53" t="n"/>
      <c r="E460" s="53" t="n"/>
      <c r="F460" s="53" t="n"/>
      <c r="G460" s="42">
        <f>IF($F460="","",IF(ISNUMBER(SEARCH(",",$F460)),"Yes — checks ","Yes — check ")&amp;$F460)</f>
        <v/>
      </c>
      <c r="H460" s="53" t="n"/>
      <c r="I460" s="54" t="n"/>
      <c r="J460" s="53" t="n"/>
      <c r="K460" s="53" t="n"/>
    </row>
    <row r="461">
      <c r="A461" s="53" t="n"/>
      <c r="B461" s="53" t="n"/>
      <c r="C461" s="53" t="n"/>
      <c r="D461" s="53" t="n"/>
      <c r="E461" s="53" t="n"/>
      <c r="F461" s="53" t="n"/>
      <c r="G461" s="42">
        <f>IF($F461="","",IF(ISNUMBER(SEARCH(",",$F461)),"Yes — checks ","Yes — check ")&amp;$F461)</f>
        <v/>
      </c>
      <c r="H461" s="53" t="n"/>
      <c r="I461" s="54" t="n"/>
      <c r="J461" s="53" t="n"/>
      <c r="K461" s="53" t="n"/>
    </row>
    <row r="462">
      <c r="A462" s="53" t="n"/>
      <c r="B462" s="53" t="n"/>
      <c r="C462" s="53" t="n"/>
      <c r="D462" s="53" t="n"/>
      <c r="E462" s="53" t="n"/>
      <c r="F462" s="53" t="n"/>
      <c r="G462" s="42">
        <f>IF($F462="","",IF(ISNUMBER(SEARCH(",",$F462)),"Yes — checks ","Yes — check ")&amp;$F462)</f>
        <v/>
      </c>
      <c r="H462" s="53" t="n"/>
      <c r="I462" s="54" t="n"/>
      <c r="J462" s="53" t="n"/>
      <c r="K462" s="53" t="n"/>
    </row>
    <row r="463">
      <c r="A463" s="53" t="n"/>
      <c r="B463" s="53" t="n"/>
      <c r="C463" s="53" t="n"/>
      <c r="D463" s="53" t="n"/>
      <c r="E463" s="53" t="n"/>
      <c r="F463" s="53" t="n"/>
      <c r="G463" s="42">
        <f>IF($F463="","",IF(ISNUMBER(SEARCH(",",$F463)),"Yes — checks ","Yes — check ")&amp;$F463)</f>
        <v/>
      </c>
      <c r="H463" s="53" t="n"/>
      <c r="I463" s="54" t="n"/>
      <c r="J463" s="53" t="n"/>
      <c r="K463" s="53" t="n"/>
    </row>
    <row r="464">
      <c r="A464" s="53" t="n"/>
      <c r="B464" s="53" t="n"/>
      <c r="C464" s="53" t="n"/>
      <c r="D464" s="53" t="n"/>
      <c r="E464" s="53" t="n"/>
      <c r="F464" s="53" t="n"/>
      <c r="G464" s="42">
        <f>IF($F464="","",IF(ISNUMBER(SEARCH(",",$F464)),"Yes — checks ","Yes — check ")&amp;$F464)</f>
        <v/>
      </c>
      <c r="H464" s="53" t="n"/>
      <c r="I464" s="54" t="n"/>
      <c r="J464" s="53" t="n"/>
      <c r="K464" s="53" t="n"/>
    </row>
    <row r="465">
      <c r="A465" s="53" t="n"/>
      <c r="B465" s="53" t="n"/>
      <c r="C465" s="53" t="n"/>
      <c r="D465" s="53" t="n"/>
      <c r="E465" s="53" t="n"/>
      <c r="F465" s="53" t="n"/>
      <c r="G465" s="42">
        <f>IF($F465="","",IF(ISNUMBER(SEARCH(",",$F465)),"Yes — checks ","Yes — check ")&amp;$F465)</f>
        <v/>
      </c>
      <c r="H465" s="53" t="n"/>
      <c r="I465" s="54" t="n"/>
      <c r="J465" s="53" t="n"/>
      <c r="K465" s="53" t="n"/>
    </row>
    <row r="466">
      <c r="A466" s="53" t="n"/>
      <c r="B466" s="53" t="n"/>
      <c r="C466" s="53" t="n"/>
      <c r="D466" s="53" t="n"/>
      <c r="E466" s="53" t="n"/>
      <c r="F466" s="53" t="n"/>
      <c r="G466" s="42">
        <f>IF($F466="","",IF(ISNUMBER(SEARCH(",",$F466)),"Yes — checks ","Yes — check ")&amp;$F466)</f>
        <v/>
      </c>
      <c r="H466" s="53" t="n"/>
      <c r="I466" s="54" t="n"/>
      <c r="J466" s="53" t="n"/>
      <c r="K466" s="53" t="n"/>
    </row>
    <row r="467">
      <c r="A467" s="53" t="n"/>
      <c r="B467" s="53" t="n"/>
      <c r="C467" s="53" t="n"/>
      <c r="D467" s="53" t="n"/>
      <c r="E467" s="53" t="n"/>
      <c r="F467" s="53" t="n"/>
      <c r="G467" s="42">
        <f>IF($F467="","",IF(ISNUMBER(SEARCH(",",$F467)),"Yes — checks ","Yes — check ")&amp;$F467)</f>
        <v/>
      </c>
      <c r="H467" s="53" t="n"/>
      <c r="I467" s="54" t="n"/>
      <c r="J467" s="53" t="n"/>
      <c r="K467" s="53" t="n"/>
    </row>
    <row r="468">
      <c r="A468" s="53" t="n"/>
      <c r="B468" s="53" t="n"/>
      <c r="C468" s="53" t="n"/>
      <c r="D468" s="53" t="n"/>
      <c r="E468" s="53" t="n"/>
      <c r="F468" s="53" t="n"/>
      <c r="G468" s="42">
        <f>IF($F468="","",IF(ISNUMBER(SEARCH(",",$F468)),"Yes — checks ","Yes — check ")&amp;$F468)</f>
        <v/>
      </c>
      <c r="H468" s="53" t="n"/>
      <c r="I468" s="54" t="n"/>
      <c r="J468" s="53" t="n"/>
      <c r="K468" s="53" t="n"/>
    </row>
    <row r="469">
      <c r="A469" s="53" t="n"/>
      <c r="B469" s="53" t="n"/>
      <c r="C469" s="53" t="n"/>
      <c r="D469" s="53" t="n"/>
      <c r="E469" s="53" t="n"/>
      <c r="F469" s="53" t="n"/>
      <c r="G469" s="42">
        <f>IF($F469="","",IF(ISNUMBER(SEARCH(",",$F469)),"Yes — checks ","Yes — check ")&amp;$F469)</f>
        <v/>
      </c>
      <c r="H469" s="53" t="n"/>
      <c r="I469" s="54" t="n"/>
      <c r="J469" s="53" t="n"/>
      <c r="K469" s="53" t="n"/>
    </row>
    <row r="470">
      <c r="A470" s="53" t="n"/>
      <c r="B470" s="53" t="n"/>
      <c r="C470" s="53" t="n"/>
      <c r="D470" s="53" t="n"/>
      <c r="E470" s="53" t="n"/>
      <c r="F470" s="53" t="n"/>
      <c r="G470" s="42">
        <f>IF($F470="","",IF(ISNUMBER(SEARCH(",",$F470)),"Yes — checks ","Yes — check ")&amp;$F470)</f>
        <v/>
      </c>
      <c r="H470" s="53" t="n"/>
      <c r="I470" s="54" t="n"/>
      <c r="J470" s="53" t="n"/>
      <c r="K470" s="53" t="n"/>
    </row>
    <row r="471">
      <c r="A471" s="53" t="n"/>
      <c r="B471" s="53" t="n"/>
      <c r="C471" s="53" t="n"/>
      <c r="D471" s="53" t="n"/>
      <c r="E471" s="53" t="n"/>
      <c r="F471" s="53" t="n"/>
      <c r="G471" s="42">
        <f>IF($F471="","",IF(ISNUMBER(SEARCH(",",$F471)),"Yes — checks ","Yes — check ")&amp;$F471)</f>
        <v/>
      </c>
      <c r="H471" s="53" t="n"/>
      <c r="I471" s="54" t="n"/>
      <c r="J471" s="53" t="n"/>
      <c r="K471" s="53" t="n"/>
    </row>
    <row r="472">
      <c r="A472" s="53" t="n"/>
      <c r="B472" s="53" t="n"/>
      <c r="C472" s="53" t="n"/>
      <c r="D472" s="53" t="n"/>
      <c r="E472" s="53" t="n"/>
      <c r="F472" s="53" t="n"/>
      <c r="G472" s="42">
        <f>IF($F472="","",IF(ISNUMBER(SEARCH(",",$F472)),"Yes — checks ","Yes — check ")&amp;$F472)</f>
        <v/>
      </c>
      <c r="H472" s="53" t="n"/>
      <c r="I472" s="54" t="n"/>
      <c r="J472" s="53" t="n"/>
      <c r="K472" s="53" t="n"/>
    </row>
    <row r="473">
      <c r="A473" s="53" t="n"/>
      <c r="B473" s="53" t="n"/>
      <c r="C473" s="53" t="n"/>
      <c r="D473" s="53" t="n"/>
      <c r="E473" s="53" t="n"/>
      <c r="F473" s="53" t="n"/>
      <c r="G473" s="42">
        <f>IF($F473="","",IF(ISNUMBER(SEARCH(",",$F473)),"Yes — checks ","Yes — check ")&amp;$F473)</f>
        <v/>
      </c>
      <c r="H473" s="53" t="n"/>
      <c r="I473" s="54" t="n"/>
      <c r="J473" s="53" t="n"/>
      <c r="K473" s="53" t="n"/>
    </row>
    <row r="474">
      <c r="A474" s="53" t="n"/>
      <c r="B474" s="53" t="n"/>
      <c r="C474" s="53" t="n"/>
      <c r="D474" s="53" t="n"/>
      <c r="E474" s="53" t="n"/>
      <c r="F474" s="53" t="n"/>
      <c r="G474" s="42">
        <f>IF($F474="","",IF(ISNUMBER(SEARCH(",",$F474)),"Yes — checks ","Yes — check ")&amp;$F474)</f>
        <v/>
      </c>
      <c r="H474" s="53" t="n"/>
      <c r="I474" s="54" t="n"/>
      <c r="J474" s="53" t="n"/>
      <c r="K474" s="53" t="n"/>
    </row>
    <row r="475">
      <c r="A475" s="53" t="n"/>
      <c r="B475" s="53" t="n"/>
      <c r="C475" s="53" t="n"/>
      <c r="D475" s="53" t="n"/>
      <c r="E475" s="53" t="n"/>
      <c r="F475" s="53" t="n"/>
      <c r="G475" s="42">
        <f>IF($F475="","",IF(ISNUMBER(SEARCH(",",$F475)),"Yes — checks ","Yes — check ")&amp;$F475)</f>
        <v/>
      </c>
      <c r="H475" s="53" t="n"/>
      <c r="I475" s="54" t="n"/>
      <c r="J475" s="53" t="n"/>
      <c r="K475" s="53" t="n"/>
    </row>
    <row r="476">
      <c r="A476" s="53" t="n"/>
      <c r="B476" s="53" t="n"/>
      <c r="C476" s="53" t="n"/>
      <c r="D476" s="53" t="n"/>
      <c r="E476" s="53" t="n"/>
      <c r="F476" s="53" t="n"/>
      <c r="G476" s="42">
        <f>IF($F476="","",IF(ISNUMBER(SEARCH(",",$F476)),"Yes — checks ","Yes — check ")&amp;$F476)</f>
        <v/>
      </c>
      <c r="H476" s="53" t="n"/>
      <c r="I476" s="54" t="n"/>
      <c r="J476" s="53" t="n"/>
      <c r="K476" s="53" t="n"/>
    </row>
    <row r="477">
      <c r="A477" s="53" t="n"/>
      <c r="B477" s="53" t="n"/>
      <c r="C477" s="53" t="n"/>
      <c r="D477" s="53" t="n"/>
      <c r="E477" s="53" t="n"/>
      <c r="F477" s="53" t="n"/>
      <c r="G477" s="42">
        <f>IF($F477="","",IF(ISNUMBER(SEARCH(",",$F477)),"Yes — checks ","Yes — check ")&amp;$F477)</f>
        <v/>
      </c>
      <c r="H477" s="53" t="n"/>
      <c r="I477" s="54" t="n"/>
      <c r="J477" s="53" t="n"/>
      <c r="K477" s="53" t="n"/>
    </row>
    <row r="478">
      <c r="A478" s="53" t="n"/>
      <c r="B478" s="53" t="n"/>
      <c r="C478" s="53" t="n"/>
      <c r="D478" s="53" t="n"/>
      <c r="E478" s="53" t="n"/>
      <c r="F478" s="53" t="n"/>
      <c r="G478" s="42">
        <f>IF($F478="","",IF(ISNUMBER(SEARCH(",",$F478)),"Yes — checks ","Yes — check ")&amp;$F478)</f>
        <v/>
      </c>
      <c r="H478" s="53" t="n"/>
      <c r="I478" s="54" t="n"/>
      <c r="J478" s="53" t="n"/>
      <c r="K478" s="53" t="n"/>
    </row>
    <row r="479">
      <c r="A479" s="53" t="n"/>
      <c r="B479" s="53" t="n"/>
      <c r="C479" s="53" t="n"/>
      <c r="D479" s="53" t="n"/>
      <c r="E479" s="53" t="n"/>
      <c r="F479" s="53" t="n"/>
      <c r="G479" s="42">
        <f>IF($F479="","",IF(ISNUMBER(SEARCH(",",$F479)),"Yes — checks ","Yes — check ")&amp;$F479)</f>
        <v/>
      </c>
      <c r="H479" s="53" t="n"/>
      <c r="I479" s="54" t="n"/>
      <c r="J479" s="53" t="n"/>
      <c r="K479" s="53" t="n"/>
    </row>
    <row r="480">
      <c r="A480" s="53" t="n"/>
      <c r="B480" s="53" t="n"/>
      <c r="C480" s="53" t="n"/>
      <c r="D480" s="53" t="n"/>
      <c r="E480" s="53" t="n"/>
      <c r="F480" s="53" t="n"/>
      <c r="G480" s="42">
        <f>IF($F480="","",IF(ISNUMBER(SEARCH(",",$F480)),"Yes — checks ","Yes — check ")&amp;$F480)</f>
        <v/>
      </c>
      <c r="H480" s="53" t="n"/>
      <c r="I480" s="54" t="n"/>
      <c r="J480" s="53" t="n"/>
      <c r="K480" s="53" t="n"/>
    </row>
    <row r="481">
      <c r="A481" s="53" t="n"/>
      <c r="B481" s="53" t="n"/>
      <c r="C481" s="53" t="n"/>
      <c r="D481" s="53" t="n"/>
      <c r="E481" s="53" t="n"/>
      <c r="F481" s="53" t="n"/>
      <c r="G481" s="42">
        <f>IF($F481="","",IF(ISNUMBER(SEARCH(",",$F481)),"Yes — checks ","Yes — check ")&amp;$F481)</f>
        <v/>
      </c>
      <c r="H481" s="53" t="n"/>
      <c r="I481" s="54" t="n"/>
      <c r="J481" s="53" t="n"/>
      <c r="K481" s="53" t="n"/>
    </row>
    <row r="482">
      <c r="A482" s="53" t="n"/>
      <c r="B482" s="53" t="n"/>
      <c r="C482" s="53" t="n"/>
      <c r="D482" s="53" t="n"/>
      <c r="E482" s="53" t="n"/>
      <c r="F482" s="53" t="n"/>
      <c r="G482" s="42">
        <f>IF($F482="","",IF(ISNUMBER(SEARCH(",",$F482)),"Yes — checks ","Yes — check ")&amp;$F482)</f>
        <v/>
      </c>
      <c r="H482" s="53" t="n"/>
      <c r="I482" s="54" t="n"/>
      <c r="J482" s="53" t="n"/>
      <c r="K482" s="53" t="n"/>
    </row>
    <row r="483">
      <c r="A483" s="53" t="n"/>
      <c r="B483" s="53" t="n"/>
      <c r="C483" s="53" t="n"/>
      <c r="D483" s="53" t="n"/>
      <c r="E483" s="53" t="n"/>
      <c r="F483" s="53" t="n"/>
      <c r="G483" s="42">
        <f>IF($F483="","",IF(ISNUMBER(SEARCH(",",$F483)),"Yes — checks ","Yes — check ")&amp;$F483)</f>
        <v/>
      </c>
      <c r="H483" s="53" t="n"/>
      <c r="I483" s="54" t="n"/>
      <c r="J483" s="53" t="n"/>
      <c r="K483" s="53" t="n"/>
    </row>
    <row r="484">
      <c r="A484" s="53" t="n"/>
      <c r="B484" s="53" t="n"/>
      <c r="C484" s="53" t="n"/>
      <c r="D484" s="53" t="n"/>
      <c r="E484" s="53" t="n"/>
      <c r="F484" s="53" t="n"/>
      <c r="G484" s="42">
        <f>IF($F484="","",IF(ISNUMBER(SEARCH(",",$F484)),"Yes — checks ","Yes — check ")&amp;$F484)</f>
        <v/>
      </c>
      <c r="H484" s="53" t="n"/>
      <c r="I484" s="54" t="n"/>
      <c r="J484" s="53" t="n"/>
      <c r="K484" s="53" t="n"/>
    </row>
    <row r="485">
      <c r="A485" s="53" t="n"/>
      <c r="B485" s="53" t="n"/>
      <c r="C485" s="53" t="n"/>
      <c r="D485" s="53" t="n"/>
      <c r="E485" s="53" t="n"/>
      <c r="F485" s="53" t="n"/>
      <c r="G485" s="42">
        <f>IF($F485="","",IF(ISNUMBER(SEARCH(",",$F485)),"Yes — checks ","Yes — check ")&amp;$F485)</f>
        <v/>
      </c>
      <c r="H485" s="53" t="n"/>
      <c r="I485" s="54" t="n"/>
      <c r="J485" s="53" t="n"/>
      <c r="K485" s="53" t="n"/>
    </row>
    <row r="486">
      <c r="A486" s="53" t="n"/>
      <c r="B486" s="53" t="n"/>
      <c r="C486" s="53" t="n"/>
      <c r="D486" s="53" t="n"/>
      <c r="E486" s="53" t="n"/>
      <c r="F486" s="53" t="n"/>
      <c r="G486" s="42">
        <f>IF($F486="","",IF(ISNUMBER(SEARCH(",",$F486)),"Yes — checks ","Yes — check ")&amp;$F486)</f>
        <v/>
      </c>
      <c r="H486" s="53" t="n"/>
      <c r="I486" s="54" t="n"/>
      <c r="J486" s="53" t="n"/>
      <c r="K486" s="53" t="n"/>
    </row>
    <row r="487">
      <c r="A487" s="53" t="n"/>
      <c r="B487" s="53" t="n"/>
      <c r="C487" s="53" t="n"/>
      <c r="D487" s="53" t="n"/>
      <c r="E487" s="53" t="n"/>
      <c r="F487" s="53" t="n"/>
      <c r="G487" s="42">
        <f>IF($F487="","",IF(ISNUMBER(SEARCH(",",$F487)),"Yes — checks ","Yes — check ")&amp;$F487)</f>
        <v/>
      </c>
      <c r="H487" s="53" t="n"/>
      <c r="I487" s="54" t="n"/>
      <c r="J487" s="53" t="n"/>
      <c r="K487" s="53" t="n"/>
    </row>
    <row r="488">
      <c r="A488" s="53" t="n"/>
      <c r="B488" s="53" t="n"/>
      <c r="C488" s="53" t="n"/>
      <c r="D488" s="53" t="n"/>
      <c r="E488" s="53" t="n"/>
      <c r="F488" s="53" t="n"/>
      <c r="G488" s="42">
        <f>IF($F488="","",IF(ISNUMBER(SEARCH(",",$F488)),"Yes — checks ","Yes — check ")&amp;$F488)</f>
        <v/>
      </c>
      <c r="H488" s="53" t="n"/>
      <c r="I488" s="54" t="n"/>
      <c r="J488" s="53" t="n"/>
      <c r="K488" s="53" t="n"/>
    </row>
    <row r="489">
      <c r="A489" s="53" t="n"/>
      <c r="B489" s="53" t="n"/>
      <c r="C489" s="53" t="n"/>
      <c r="D489" s="53" t="n"/>
      <c r="E489" s="53" t="n"/>
      <c r="F489" s="53" t="n"/>
      <c r="G489" s="42">
        <f>IF($F489="","",IF(ISNUMBER(SEARCH(",",$F489)),"Yes — checks ","Yes — check ")&amp;$F489)</f>
        <v/>
      </c>
      <c r="H489" s="53" t="n"/>
      <c r="I489" s="54" t="n"/>
      <c r="J489" s="53" t="n"/>
      <c r="K489" s="53" t="n"/>
    </row>
    <row r="490">
      <c r="A490" s="53" t="n"/>
      <c r="B490" s="53" t="n"/>
      <c r="C490" s="53" t="n"/>
      <c r="D490" s="53" t="n"/>
      <c r="E490" s="53" t="n"/>
      <c r="F490" s="53" t="n"/>
      <c r="G490" s="42">
        <f>IF($F490="","",IF(ISNUMBER(SEARCH(",",$F490)),"Yes — checks ","Yes — check ")&amp;$F490)</f>
        <v/>
      </c>
      <c r="H490" s="53" t="n"/>
      <c r="I490" s="54" t="n"/>
      <c r="J490" s="53" t="n"/>
      <c r="K490" s="53" t="n"/>
    </row>
    <row r="491">
      <c r="A491" s="53" t="n"/>
      <c r="B491" s="53" t="n"/>
      <c r="C491" s="53" t="n"/>
      <c r="D491" s="53" t="n"/>
      <c r="E491" s="53" t="n"/>
      <c r="F491" s="53" t="n"/>
      <c r="G491" s="42">
        <f>IF($F491="","",IF(ISNUMBER(SEARCH(",",$F491)),"Yes — checks ","Yes — check ")&amp;$F491)</f>
        <v/>
      </c>
      <c r="H491" s="53" t="n"/>
      <c r="I491" s="54" t="n"/>
      <c r="J491" s="53" t="n"/>
      <c r="K491" s="53" t="n"/>
    </row>
    <row r="492">
      <c r="A492" s="53" t="n"/>
      <c r="B492" s="53" t="n"/>
      <c r="C492" s="53" t="n"/>
      <c r="D492" s="53" t="n"/>
      <c r="E492" s="53" t="n"/>
      <c r="F492" s="53" t="n"/>
      <c r="G492" s="42">
        <f>IF($F492="","",IF(ISNUMBER(SEARCH(",",$F492)),"Yes — checks ","Yes — check ")&amp;$F492)</f>
        <v/>
      </c>
      <c r="H492" s="53" t="n"/>
      <c r="I492" s="54" t="n"/>
      <c r="J492" s="53" t="n"/>
      <c r="K492" s="53" t="n"/>
    </row>
    <row r="493">
      <c r="A493" s="53" t="n"/>
      <c r="B493" s="53" t="n"/>
      <c r="C493" s="53" t="n"/>
      <c r="D493" s="53" t="n"/>
      <c r="E493" s="53" t="n"/>
      <c r="F493" s="53" t="n"/>
      <c r="G493" s="42">
        <f>IF($F493="","",IF(ISNUMBER(SEARCH(",",$F493)),"Yes — checks ","Yes — check ")&amp;$F493)</f>
        <v/>
      </c>
      <c r="H493" s="53" t="n"/>
      <c r="I493" s="54" t="n"/>
      <c r="J493" s="53" t="n"/>
      <c r="K493" s="53" t="n"/>
    </row>
    <row r="494">
      <c r="A494" s="53" t="n"/>
      <c r="B494" s="53" t="n"/>
      <c r="C494" s="53" t="n"/>
      <c r="D494" s="53" t="n"/>
      <c r="E494" s="53" t="n"/>
      <c r="F494" s="53" t="n"/>
      <c r="G494" s="42">
        <f>IF($F494="","",IF(ISNUMBER(SEARCH(",",$F494)),"Yes — checks ","Yes — check ")&amp;$F494)</f>
        <v/>
      </c>
      <c r="H494" s="53" t="n"/>
      <c r="I494" s="54" t="n"/>
      <c r="J494" s="53" t="n"/>
      <c r="K494" s="53" t="n"/>
    </row>
    <row r="495">
      <c r="A495" s="53" t="n"/>
      <c r="B495" s="53" t="n"/>
      <c r="C495" s="53" t="n"/>
      <c r="D495" s="53" t="n"/>
      <c r="E495" s="53" t="n"/>
      <c r="F495" s="53" t="n"/>
      <c r="G495" s="42">
        <f>IF($F495="","",IF(ISNUMBER(SEARCH(",",$F495)),"Yes — checks ","Yes — check ")&amp;$F495)</f>
        <v/>
      </c>
      <c r="H495" s="53" t="n"/>
      <c r="I495" s="54" t="n"/>
      <c r="J495" s="53" t="n"/>
      <c r="K495" s="53" t="n"/>
    </row>
    <row r="496">
      <c r="A496" s="53" t="n"/>
      <c r="B496" s="53" t="n"/>
      <c r="C496" s="53" t="n"/>
      <c r="D496" s="53" t="n"/>
      <c r="E496" s="53" t="n"/>
      <c r="F496" s="53" t="n"/>
      <c r="G496" s="42">
        <f>IF($F496="","",IF(ISNUMBER(SEARCH(",",$F496)),"Yes — checks ","Yes — check ")&amp;$F496)</f>
        <v/>
      </c>
      <c r="H496" s="53" t="n"/>
      <c r="I496" s="54" t="n"/>
      <c r="J496" s="53" t="n"/>
      <c r="K496" s="53" t="n"/>
    </row>
    <row r="497">
      <c r="A497" s="53" t="n"/>
      <c r="B497" s="53" t="n"/>
      <c r="C497" s="53" t="n"/>
      <c r="D497" s="53" t="n"/>
      <c r="E497" s="53" t="n"/>
      <c r="F497" s="53" t="n"/>
      <c r="G497" s="42">
        <f>IF($F497="","",IF(ISNUMBER(SEARCH(",",$F497)),"Yes — checks ","Yes — check ")&amp;$F497)</f>
        <v/>
      </c>
      <c r="H497" s="53" t="n"/>
      <c r="I497" s="54" t="n"/>
      <c r="J497" s="53" t="n"/>
      <c r="K497" s="53" t="n"/>
    </row>
    <row r="498">
      <c r="A498" s="53" t="n"/>
      <c r="B498" s="53" t="n"/>
      <c r="C498" s="53" t="n"/>
      <c r="D498" s="53" t="n"/>
      <c r="E498" s="53" t="n"/>
      <c r="F498" s="53" t="n"/>
      <c r="G498" s="42">
        <f>IF($F498="","",IF(ISNUMBER(SEARCH(",",$F498)),"Yes — checks ","Yes — check ")&amp;$F498)</f>
        <v/>
      </c>
      <c r="H498" s="53" t="n"/>
      <c r="I498" s="54" t="n"/>
      <c r="J498" s="53" t="n"/>
      <c r="K498" s="53" t="n"/>
    </row>
    <row r="499">
      <c r="A499" s="53" t="n"/>
      <c r="B499" s="53" t="n"/>
      <c r="C499" s="53" t="n"/>
      <c r="D499" s="53" t="n"/>
      <c r="E499" s="53" t="n"/>
      <c r="F499" s="53" t="n"/>
      <c r="G499" s="42">
        <f>IF($F499="","",IF(ISNUMBER(SEARCH(",",$F499)),"Yes — checks ","Yes — check ")&amp;$F499)</f>
        <v/>
      </c>
      <c r="H499" s="53" t="n"/>
      <c r="I499" s="54" t="n"/>
      <c r="J499" s="53" t="n"/>
      <c r="K499" s="53" t="n"/>
    </row>
    <row r="500">
      <c r="A500" s="53" t="n"/>
      <c r="B500" s="53" t="n"/>
      <c r="C500" s="53" t="n"/>
      <c r="D500" s="53" t="n"/>
      <c r="E500" s="53" t="n"/>
      <c r="F500" s="53" t="n"/>
      <c r="G500" s="42">
        <f>IF($F500="","",IF(ISNUMBER(SEARCH(",",$F500)),"Yes — checks ","Yes — check ")&amp;$F500)</f>
        <v/>
      </c>
      <c r="H500" s="53" t="n"/>
      <c r="I500" s="54" t="n"/>
      <c r="J500" s="53" t="n"/>
      <c r="K500" s="53" t="n"/>
    </row>
    <row r="501">
      <c r="A501" s="53" t="n"/>
      <c r="B501" s="53" t="n"/>
      <c r="C501" s="53" t="n"/>
      <c r="D501" s="53" t="n"/>
      <c r="E501" s="53" t="n"/>
      <c r="F501" s="53" t="n"/>
      <c r="G501" s="42">
        <f>IF($F501="","",IF(ISNUMBER(SEARCH(",",$F501)),"Yes — checks ","Yes — check ")&amp;$F501)</f>
        <v/>
      </c>
      <c r="H501" s="53" t="n"/>
      <c r="I501" s="54" t="n"/>
      <c r="J501" s="53" t="n"/>
      <c r="K501" s="53" t="n"/>
    </row>
    <row r="502">
      <c r="A502" s="53" t="n"/>
      <c r="B502" s="53" t="n"/>
      <c r="C502" s="53" t="n"/>
      <c r="D502" s="53" t="n"/>
      <c r="E502" s="53" t="n"/>
      <c r="F502" s="53" t="n"/>
      <c r="G502" s="42">
        <f>IF($F502="","",IF(ISNUMBER(SEARCH(",",$F502)),"Yes — checks ","Yes — check ")&amp;$F502)</f>
        <v/>
      </c>
      <c r="H502" s="53" t="n"/>
      <c r="I502" s="54" t="n"/>
      <c r="J502" s="53" t="n"/>
      <c r="K502" s="53" t="n"/>
    </row>
    <row r="503">
      <c r="A503" s="53" t="n"/>
      <c r="B503" s="53" t="n"/>
      <c r="C503" s="53" t="n"/>
      <c r="D503" s="53" t="n"/>
      <c r="E503" s="53" t="n"/>
      <c r="F503" s="53" t="n"/>
      <c r="G503" s="42">
        <f>IF($F503="","",IF(ISNUMBER(SEARCH(",",$F503)),"Yes — checks ","Yes — check ")&amp;$F503)</f>
        <v/>
      </c>
      <c r="H503" s="53" t="n"/>
      <c r="I503" s="54" t="n"/>
      <c r="J503" s="53" t="n"/>
      <c r="K503" s="53" t="n"/>
    </row>
    <row r="504">
      <c r="A504" s="53" t="n"/>
      <c r="B504" s="53" t="n"/>
      <c r="C504" s="53" t="n"/>
      <c r="D504" s="53" t="n"/>
      <c r="E504" s="53" t="n"/>
      <c r="F504" s="53" t="n"/>
      <c r="G504" s="42">
        <f>IF($F504="","",IF(ISNUMBER(SEARCH(",",$F504)),"Yes — checks ","Yes — check ")&amp;$F504)</f>
        <v/>
      </c>
      <c r="H504" s="53" t="n"/>
      <c r="I504" s="54" t="n"/>
      <c r="J504" s="53" t="n"/>
      <c r="K504" s="53" t="n"/>
    </row>
    <row r="505">
      <c r="A505" s="53" t="n"/>
      <c r="B505" s="53" t="n"/>
      <c r="C505" s="53" t="n"/>
      <c r="D505" s="53" t="n"/>
      <c r="E505" s="53" t="n"/>
      <c r="F505" s="53" t="n"/>
      <c r="G505" s="42">
        <f>IF($F505="","",IF(ISNUMBER(SEARCH(",",$F505)),"Yes — checks ","Yes — check ")&amp;$F505)</f>
        <v/>
      </c>
      <c r="H505" s="53" t="n"/>
      <c r="I505" s="54" t="n"/>
      <c r="J505" s="53" t="n"/>
      <c r="K505" s="53" t="n"/>
    </row>
    <row r="506">
      <c r="A506" s="53" t="n"/>
      <c r="B506" s="53" t="n"/>
      <c r="C506" s="53" t="n"/>
      <c r="D506" s="53" t="n"/>
      <c r="E506" s="53" t="n"/>
      <c r="F506" s="53" t="n"/>
      <c r="G506" s="42">
        <f>IF($F506="","",IF(ISNUMBER(SEARCH(",",$F506)),"Yes — checks ","Yes — check ")&amp;$F506)</f>
        <v/>
      </c>
      <c r="H506" s="53" t="n"/>
      <c r="I506" s="54" t="n"/>
      <c r="J506" s="53" t="n"/>
      <c r="K506" s="53" t="n"/>
    </row>
    <row r="507">
      <c r="A507" s="53" t="n"/>
      <c r="B507" s="53" t="n"/>
      <c r="C507" s="53" t="n"/>
      <c r="D507" s="53" t="n"/>
      <c r="E507" s="53" t="n"/>
      <c r="F507" s="53" t="n"/>
      <c r="G507" s="42">
        <f>IF($F507="","",IF(ISNUMBER(SEARCH(",",$F507)),"Yes — checks ","Yes — check ")&amp;$F507)</f>
        <v/>
      </c>
      <c r="H507" s="53" t="n"/>
      <c r="I507" s="54" t="n"/>
      <c r="J507" s="53" t="n"/>
      <c r="K507" s="53" t="n"/>
    </row>
    <row r="508">
      <c r="A508" s="53" t="n"/>
      <c r="B508" s="53" t="n"/>
      <c r="C508" s="53" t="n"/>
      <c r="D508" s="53" t="n"/>
      <c r="E508" s="53" t="n"/>
      <c r="F508" s="53" t="n"/>
      <c r="G508" s="42">
        <f>IF($F508="","",IF(ISNUMBER(SEARCH(",",$F508)),"Yes — checks ","Yes — check ")&amp;$F508)</f>
        <v/>
      </c>
      <c r="H508" s="53" t="n"/>
      <c r="I508" s="54" t="n"/>
      <c r="J508" s="53" t="n"/>
      <c r="K508" s="53" t="n"/>
    </row>
    <row r="509">
      <c r="A509" s="53" t="n"/>
      <c r="B509" s="53" t="n"/>
      <c r="C509" s="53" t="n"/>
      <c r="D509" s="53" t="n"/>
      <c r="E509" s="53" t="n"/>
      <c r="F509" s="53" t="n"/>
      <c r="G509" s="42">
        <f>IF($F509="","",IF(ISNUMBER(SEARCH(",",$F509)),"Yes — checks ","Yes — check ")&amp;$F509)</f>
        <v/>
      </c>
      <c r="H509" s="53" t="n"/>
      <c r="I509" s="54" t="n"/>
      <c r="J509" s="53" t="n"/>
      <c r="K509" s="53" t="n"/>
    </row>
    <row r="510">
      <c r="A510" s="53" t="n"/>
      <c r="B510" s="53" t="n"/>
      <c r="C510" s="53" t="n"/>
      <c r="D510" s="53" t="n"/>
      <c r="E510" s="53" t="n"/>
      <c r="F510" s="53" t="n"/>
      <c r="G510" s="42">
        <f>IF($F510="","",IF(ISNUMBER(SEARCH(",",$F510)),"Yes — checks ","Yes — check ")&amp;$F510)</f>
        <v/>
      </c>
      <c r="H510" s="53" t="n"/>
      <c r="I510" s="54" t="n"/>
      <c r="J510" s="53" t="n"/>
      <c r="K510" s="53" t="n"/>
    </row>
    <row r="511">
      <c r="A511" s="53" t="n"/>
      <c r="B511" s="53" t="n"/>
      <c r="C511" s="53" t="n"/>
      <c r="D511" s="53" t="n"/>
      <c r="E511" s="53" t="n"/>
      <c r="F511" s="53" t="n"/>
      <c r="G511" s="42">
        <f>IF($F511="","",IF(ISNUMBER(SEARCH(",",$F511)),"Yes — checks ","Yes — check ")&amp;$F511)</f>
        <v/>
      </c>
      <c r="H511" s="53" t="n"/>
      <c r="I511" s="54" t="n"/>
      <c r="J511" s="53" t="n"/>
      <c r="K511" s="53" t="n"/>
    </row>
    <row r="512">
      <c r="A512" s="53" t="n"/>
      <c r="B512" s="53" t="n"/>
      <c r="C512" s="53" t="n"/>
      <c r="D512" s="53" t="n"/>
      <c r="E512" s="53" t="n"/>
      <c r="F512" s="53" t="n"/>
      <c r="G512" s="42">
        <f>IF($F512="","",IF(ISNUMBER(SEARCH(",",$F512)),"Yes — checks ","Yes — check ")&amp;$F512)</f>
        <v/>
      </c>
      <c r="H512" s="53" t="n"/>
      <c r="I512" s="54" t="n"/>
      <c r="J512" s="53" t="n"/>
      <c r="K512" s="53" t="n"/>
    </row>
    <row r="513">
      <c r="A513" s="53" t="n"/>
      <c r="B513" s="53" t="n"/>
      <c r="C513" s="53" t="n"/>
      <c r="D513" s="53" t="n"/>
      <c r="E513" s="53" t="n"/>
      <c r="F513" s="53" t="n"/>
      <c r="G513" s="42">
        <f>IF($F513="","",IF(ISNUMBER(SEARCH(",",$F513)),"Yes — checks ","Yes — check ")&amp;$F513)</f>
        <v/>
      </c>
      <c r="H513" s="53" t="n"/>
      <c r="I513" s="54" t="n"/>
      <c r="J513" s="53" t="n"/>
      <c r="K513" s="53" t="n"/>
    </row>
    <row r="514">
      <c r="A514" s="53" t="n"/>
      <c r="B514" s="53" t="n"/>
      <c r="C514" s="53" t="n"/>
      <c r="D514" s="53" t="n"/>
      <c r="E514" s="53" t="n"/>
      <c r="F514" s="53" t="n"/>
      <c r="G514" s="42">
        <f>IF($F514="","",IF(ISNUMBER(SEARCH(",",$F514)),"Yes — checks ","Yes — check ")&amp;$F514)</f>
        <v/>
      </c>
      <c r="H514" s="53" t="n"/>
      <c r="I514" s="54" t="n"/>
      <c r="J514" s="53" t="n"/>
      <c r="K514" s="53" t="n"/>
    </row>
    <row r="515">
      <c r="A515" s="53" t="n"/>
      <c r="B515" s="53" t="n"/>
      <c r="C515" s="53" t="n"/>
      <c r="D515" s="53" t="n"/>
      <c r="E515" s="53" t="n"/>
      <c r="F515" s="53" t="n"/>
      <c r="G515" s="42">
        <f>IF($F515="","",IF(ISNUMBER(SEARCH(",",$F515)),"Yes — checks ","Yes — check ")&amp;$F515)</f>
        <v/>
      </c>
      <c r="H515" s="53" t="n"/>
      <c r="I515" s="54" t="n"/>
      <c r="J515" s="53" t="n"/>
      <c r="K515" s="53" t="n"/>
    </row>
    <row r="516">
      <c r="A516" s="53" t="n"/>
      <c r="B516" s="53" t="n"/>
      <c r="C516" s="53" t="n"/>
      <c r="D516" s="53" t="n"/>
      <c r="E516" s="53" t="n"/>
      <c r="F516" s="53" t="n"/>
      <c r="G516" s="42">
        <f>IF($F516="","",IF(ISNUMBER(SEARCH(",",$F516)),"Yes — checks ","Yes — check ")&amp;$F516)</f>
        <v/>
      </c>
      <c r="H516" s="53" t="n"/>
      <c r="I516" s="54" t="n"/>
      <c r="J516" s="53" t="n"/>
      <c r="K516" s="53" t="n"/>
    </row>
    <row r="517">
      <c r="A517" s="53" t="n"/>
      <c r="B517" s="53" t="n"/>
      <c r="C517" s="53" t="n"/>
      <c r="D517" s="53" t="n"/>
      <c r="E517" s="53" t="n"/>
      <c r="F517" s="53" t="n"/>
      <c r="G517" s="42">
        <f>IF($F517="","",IF(ISNUMBER(SEARCH(",",$F517)),"Yes — checks ","Yes — check ")&amp;$F517)</f>
        <v/>
      </c>
      <c r="H517" s="53" t="n"/>
      <c r="I517" s="54" t="n"/>
      <c r="J517" s="53" t="n"/>
      <c r="K517" s="53" t="n"/>
    </row>
    <row r="518">
      <c r="A518" s="53" t="n"/>
      <c r="B518" s="53" t="n"/>
      <c r="C518" s="53" t="n"/>
      <c r="D518" s="53" t="n"/>
      <c r="E518" s="53" t="n"/>
      <c r="F518" s="53" t="n"/>
      <c r="G518" s="42">
        <f>IF($F518="","",IF(ISNUMBER(SEARCH(",",$F518)),"Yes — checks ","Yes — check ")&amp;$F518)</f>
        <v/>
      </c>
      <c r="H518" s="53" t="n"/>
      <c r="I518" s="54" t="n"/>
      <c r="J518" s="53" t="n"/>
      <c r="K518" s="53" t="n"/>
    </row>
    <row r="519">
      <c r="A519" s="53" t="n"/>
      <c r="B519" s="53" t="n"/>
      <c r="C519" s="53" t="n"/>
      <c r="D519" s="53" t="n"/>
      <c r="E519" s="53" t="n"/>
      <c r="F519" s="53" t="n"/>
      <c r="G519" s="42">
        <f>IF($F519="","",IF(ISNUMBER(SEARCH(",",$F519)),"Yes — checks ","Yes — check ")&amp;$F519)</f>
        <v/>
      </c>
      <c r="H519" s="53" t="n"/>
      <c r="I519" s="54" t="n"/>
      <c r="J519" s="53" t="n"/>
      <c r="K519" s="53" t="n"/>
    </row>
    <row r="520">
      <c r="A520" s="53" t="n"/>
      <c r="B520" s="53" t="n"/>
      <c r="C520" s="53" t="n"/>
      <c r="D520" s="53" t="n"/>
      <c r="E520" s="53" t="n"/>
      <c r="F520" s="53" t="n"/>
      <c r="G520" s="42">
        <f>IF($F520="","",IF(ISNUMBER(SEARCH(",",$F520)),"Yes — checks ","Yes — check ")&amp;$F520)</f>
        <v/>
      </c>
      <c r="H520" s="53" t="n"/>
      <c r="I520" s="54" t="n"/>
      <c r="J520" s="53" t="n"/>
      <c r="K520" s="53" t="n"/>
    </row>
    <row r="521">
      <c r="A521" s="53" t="n"/>
      <c r="B521" s="53" t="n"/>
      <c r="C521" s="53" t="n"/>
      <c r="D521" s="53" t="n"/>
      <c r="E521" s="53" t="n"/>
      <c r="F521" s="53" t="n"/>
      <c r="G521" s="42">
        <f>IF($F521="","",IF(ISNUMBER(SEARCH(",",$F521)),"Yes — checks ","Yes — check ")&amp;$F521)</f>
        <v/>
      </c>
      <c r="H521" s="53" t="n"/>
      <c r="I521" s="54" t="n"/>
      <c r="J521" s="53" t="n"/>
      <c r="K521" s="53" t="n"/>
    </row>
    <row r="522">
      <c r="A522" s="53" t="n"/>
      <c r="B522" s="53" t="n"/>
      <c r="C522" s="53" t="n"/>
      <c r="D522" s="53" t="n"/>
      <c r="E522" s="53" t="n"/>
      <c r="F522" s="53" t="n"/>
      <c r="G522" s="42">
        <f>IF($F522="","",IF(ISNUMBER(SEARCH(",",$F522)),"Yes — checks ","Yes — check ")&amp;$F522)</f>
        <v/>
      </c>
      <c r="H522" s="53" t="n"/>
      <c r="I522" s="54" t="n"/>
      <c r="J522" s="53" t="n"/>
      <c r="K522" s="53" t="n"/>
    </row>
    <row r="523">
      <c r="A523" s="53" t="n"/>
      <c r="B523" s="53" t="n"/>
      <c r="C523" s="53" t="n"/>
      <c r="D523" s="53" t="n"/>
      <c r="E523" s="53" t="n"/>
      <c r="F523" s="53" t="n"/>
      <c r="G523" s="42">
        <f>IF($F523="","",IF(ISNUMBER(SEARCH(",",$F523)),"Yes — checks ","Yes — check ")&amp;$F523)</f>
        <v/>
      </c>
      <c r="H523" s="53" t="n"/>
      <c r="I523" s="54" t="n"/>
      <c r="J523" s="53" t="n"/>
      <c r="K523" s="53" t="n"/>
    </row>
    <row r="524">
      <c r="A524" s="53" t="n"/>
      <c r="B524" s="53" t="n"/>
      <c r="C524" s="53" t="n"/>
      <c r="D524" s="53" t="n"/>
      <c r="E524" s="53" t="n"/>
      <c r="F524" s="53" t="n"/>
      <c r="G524" s="42">
        <f>IF($F524="","",IF(ISNUMBER(SEARCH(",",$F524)),"Yes — checks ","Yes — check ")&amp;$F524)</f>
        <v/>
      </c>
      <c r="H524" s="53" t="n"/>
      <c r="I524" s="54" t="n"/>
      <c r="J524" s="53" t="n"/>
      <c r="K524" s="53" t="n"/>
    </row>
    <row r="525">
      <c r="A525" s="53" t="n"/>
      <c r="B525" s="53" t="n"/>
      <c r="C525" s="53" t="n"/>
      <c r="D525" s="53" t="n"/>
      <c r="E525" s="53" t="n"/>
      <c r="F525" s="53" t="n"/>
      <c r="G525" s="42">
        <f>IF($F525="","",IF(ISNUMBER(SEARCH(",",$F525)),"Yes — checks ","Yes — check ")&amp;$F525)</f>
        <v/>
      </c>
      <c r="H525" s="53" t="n"/>
      <c r="I525" s="54" t="n"/>
      <c r="J525" s="53" t="n"/>
      <c r="K525" s="53" t="n"/>
    </row>
    <row r="526">
      <c r="A526" s="53" t="n"/>
      <c r="B526" s="53" t="n"/>
      <c r="C526" s="53" t="n"/>
      <c r="D526" s="53" t="n"/>
      <c r="E526" s="53" t="n"/>
      <c r="F526" s="53" t="n"/>
      <c r="G526" s="42">
        <f>IF($F526="","",IF(ISNUMBER(SEARCH(",",$F526)),"Yes — checks ","Yes — check ")&amp;$F526)</f>
        <v/>
      </c>
      <c r="H526" s="53" t="n"/>
      <c r="I526" s="54" t="n"/>
      <c r="J526" s="53" t="n"/>
      <c r="K526" s="53" t="n"/>
    </row>
    <row r="527">
      <c r="A527" s="53" t="n"/>
      <c r="B527" s="53" t="n"/>
      <c r="C527" s="53" t="n"/>
      <c r="D527" s="53" t="n"/>
      <c r="E527" s="53" t="n"/>
      <c r="F527" s="53" t="n"/>
      <c r="G527" s="42">
        <f>IF($F527="","",IF(ISNUMBER(SEARCH(",",$F527)),"Yes — checks ","Yes — check ")&amp;$F527)</f>
        <v/>
      </c>
      <c r="H527" s="53" t="n"/>
      <c r="I527" s="54" t="n"/>
      <c r="J527" s="53" t="n"/>
      <c r="K527" s="53" t="n"/>
    </row>
    <row r="528">
      <c r="A528" s="53" t="n"/>
      <c r="B528" s="53" t="n"/>
      <c r="C528" s="53" t="n"/>
      <c r="D528" s="53" t="n"/>
      <c r="E528" s="53" t="n"/>
      <c r="F528" s="53" t="n"/>
      <c r="G528" s="42">
        <f>IF($F528="","",IF(ISNUMBER(SEARCH(",",$F528)),"Yes — checks ","Yes — check ")&amp;$F528)</f>
        <v/>
      </c>
      <c r="H528" s="53" t="n"/>
      <c r="I528" s="54" t="n"/>
      <c r="J528" s="53" t="n"/>
      <c r="K528" s="53" t="n"/>
    </row>
    <row r="529">
      <c r="A529" s="53" t="n"/>
      <c r="B529" s="53" t="n"/>
      <c r="C529" s="53" t="n"/>
      <c r="D529" s="53" t="n"/>
      <c r="E529" s="53" t="n"/>
      <c r="F529" s="53" t="n"/>
      <c r="G529" s="42">
        <f>IF($F529="","",IF(ISNUMBER(SEARCH(",",$F529)),"Yes — checks ","Yes — check ")&amp;$F529)</f>
        <v/>
      </c>
      <c r="H529" s="53" t="n"/>
      <c r="I529" s="54" t="n"/>
      <c r="J529" s="53" t="n"/>
      <c r="K529" s="53" t="n"/>
    </row>
    <row r="530">
      <c r="A530" s="53" t="n"/>
      <c r="B530" s="53" t="n"/>
      <c r="C530" s="53" t="n"/>
      <c r="D530" s="53" t="n"/>
      <c r="E530" s="53" t="n"/>
      <c r="F530" s="53" t="n"/>
      <c r="G530" s="42">
        <f>IF($F530="","",IF(ISNUMBER(SEARCH(",",$F530)),"Yes — checks ","Yes — check ")&amp;$F530)</f>
        <v/>
      </c>
      <c r="H530" s="53" t="n"/>
      <c r="I530" s="54" t="n"/>
      <c r="J530" s="53" t="n"/>
      <c r="K530" s="53" t="n"/>
    </row>
    <row r="531">
      <c r="A531" s="53" t="n"/>
      <c r="B531" s="53" t="n"/>
      <c r="C531" s="53" t="n"/>
      <c r="D531" s="53" t="n"/>
      <c r="E531" s="53" t="n"/>
      <c r="F531" s="53" t="n"/>
      <c r="G531" s="42">
        <f>IF($F531="","",IF(ISNUMBER(SEARCH(",",$F531)),"Yes — checks ","Yes — check ")&amp;$F531)</f>
        <v/>
      </c>
      <c r="H531" s="53" t="n"/>
      <c r="I531" s="54" t="n"/>
      <c r="J531" s="53" t="n"/>
      <c r="K531" s="53" t="n"/>
    </row>
    <row r="532">
      <c r="A532" s="53" t="n"/>
      <c r="B532" s="53" t="n"/>
      <c r="C532" s="53" t="n"/>
      <c r="D532" s="53" t="n"/>
      <c r="E532" s="53" t="n"/>
      <c r="F532" s="53" t="n"/>
      <c r="G532" s="42">
        <f>IF($F532="","",IF(ISNUMBER(SEARCH(",",$F532)),"Yes — checks ","Yes — check ")&amp;$F532)</f>
        <v/>
      </c>
      <c r="H532" s="53" t="n"/>
      <c r="I532" s="54" t="n"/>
      <c r="J532" s="53" t="n"/>
      <c r="K532" s="53" t="n"/>
    </row>
    <row r="533">
      <c r="A533" s="53" t="n"/>
      <c r="B533" s="53" t="n"/>
      <c r="C533" s="53" t="n"/>
      <c r="D533" s="53" t="n"/>
      <c r="E533" s="53" t="n"/>
      <c r="F533" s="53" t="n"/>
      <c r="G533" s="42">
        <f>IF($F533="","",IF(ISNUMBER(SEARCH(",",$F533)),"Yes — checks ","Yes — check ")&amp;$F533)</f>
        <v/>
      </c>
      <c r="H533" s="53" t="n"/>
      <c r="I533" s="54" t="n"/>
      <c r="J533" s="53" t="n"/>
      <c r="K533" s="53" t="n"/>
    </row>
    <row r="534">
      <c r="A534" s="53" t="n"/>
      <c r="B534" s="53" t="n"/>
      <c r="C534" s="53" t="n"/>
      <c r="D534" s="53" t="n"/>
      <c r="E534" s="53" t="n"/>
      <c r="F534" s="53" t="n"/>
      <c r="G534" s="42">
        <f>IF($F534="","",IF(ISNUMBER(SEARCH(",",$F534)),"Yes — checks ","Yes — check ")&amp;$F534)</f>
        <v/>
      </c>
      <c r="H534" s="53" t="n"/>
      <c r="I534" s="54" t="n"/>
      <c r="J534" s="53" t="n"/>
      <c r="K534" s="53" t="n"/>
    </row>
    <row r="535">
      <c r="A535" s="53" t="n"/>
      <c r="B535" s="53" t="n"/>
      <c r="C535" s="53" t="n"/>
      <c r="D535" s="53" t="n"/>
      <c r="E535" s="53" t="n"/>
      <c r="F535" s="53" t="n"/>
      <c r="G535" s="42">
        <f>IF($F535="","",IF(ISNUMBER(SEARCH(",",$F535)),"Yes — checks ","Yes — check ")&amp;$F535)</f>
        <v/>
      </c>
      <c r="H535" s="53" t="n"/>
      <c r="I535" s="54" t="n"/>
      <c r="J535" s="53" t="n"/>
      <c r="K535" s="53" t="n"/>
    </row>
    <row r="536">
      <c r="A536" s="53" t="n"/>
      <c r="B536" s="53" t="n"/>
      <c r="C536" s="53" t="n"/>
      <c r="D536" s="53" t="n"/>
      <c r="E536" s="53" t="n"/>
      <c r="F536" s="53" t="n"/>
      <c r="G536" s="42">
        <f>IF($F536="","",IF(ISNUMBER(SEARCH(",",$F536)),"Yes — checks ","Yes — check ")&amp;$F536)</f>
        <v/>
      </c>
      <c r="H536" s="53" t="n"/>
      <c r="I536" s="54" t="n"/>
      <c r="J536" s="53" t="n"/>
      <c r="K536" s="53" t="n"/>
    </row>
    <row r="537">
      <c r="A537" s="53" t="n"/>
      <c r="B537" s="53" t="n"/>
      <c r="C537" s="53" t="n"/>
      <c r="D537" s="53" t="n"/>
      <c r="E537" s="53" t="n"/>
      <c r="F537" s="53" t="n"/>
      <c r="G537" s="42">
        <f>IF($F537="","",IF(ISNUMBER(SEARCH(",",$F537)),"Yes — checks ","Yes — check ")&amp;$F537)</f>
        <v/>
      </c>
      <c r="H537" s="53" t="n"/>
      <c r="I537" s="54" t="n"/>
      <c r="J537" s="53" t="n"/>
      <c r="K537" s="53" t="n"/>
    </row>
    <row r="538">
      <c r="A538" s="53" t="n"/>
      <c r="B538" s="53" t="n"/>
      <c r="C538" s="53" t="n"/>
      <c r="D538" s="53" t="n"/>
      <c r="E538" s="53" t="n"/>
      <c r="F538" s="53" t="n"/>
      <c r="G538" s="42">
        <f>IF($F538="","",IF(ISNUMBER(SEARCH(",",$F538)),"Yes — checks ","Yes — check ")&amp;$F538)</f>
        <v/>
      </c>
      <c r="H538" s="53" t="n"/>
      <c r="I538" s="54" t="n"/>
      <c r="J538" s="53" t="n"/>
      <c r="K538" s="53" t="n"/>
    </row>
    <row r="539">
      <c r="A539" s="53" t="n"/>
      <c r="B539" s="53" t="n"/>
      <c r="C539" s="53" t="n"/>
      <c r="D539" s="53" t="n"/>
      <c r="E539" s="53" t="n"/>
      <c r="F539" s="53" t="n"/>
      <c r="G539" s="42">
        <f>IF($F539="","",IF(ISNUMBER(SEARCH(",",$F539)),"Yes — checks ","Yes — check ")&amp;$F539)</f>
        <v/>
      </c>
      <c r="H539" s="53" t="n"/>
      <c r="I539" s="54" t="n"/>
      <c r="J539" s="53" t="n"/>
      <c r="K539" s="53" t="n"/>
    </row>
    <row r="540">
      <c r="A540" s="53" t="n"/>
      <c r="B540" s="53" t="n"/>
      <c r="C540" s="53" t="n"/>
      <c r="D540" s="53" t="n"/>
      <c r="E540" s="53" t="n"/>
      <c r="F540" s="53" t="n"/>
      <c r="G540" s="42">
        <f>IF($F540="","",IF(ISNUMBER(SEARCH(",",$F540)),"Yes — checks ","Yes — check ")&amp;$F540)</f>
        <v/>
      </c>
      <c r="H540" s="53" t="n"/>
      <c r="I540" s="54" t="n"/>
      <c r="J540" s="53" t="n"/>
      <c r="K540" s="53" t="n"/>
    </row>
    <row r="541">
      <c r="A541" s="53" t="n"/>
      <c r="B541" s="53" t="n"/>
      <c r="C541" s="53" t="n"/>
      <c r="D541" s="53" t="n"/>
      <c r="E541" s="53" t="n"/>
      <c r="F541" s="53" t="n"/>
      <c r="G541" s="42">
        <f>IF($F541="","",IF(ISNUMBER(SEARCH(",",$F541)),"Yes — checks ","Yes — check ")&amp;$F541)</f>
        <v/>
      </c>
      <c r="H541" s="53" t="n"/>
      <c r="I541" s="54" t="n"/>
      <c r="J541" s="53" t="n"/>
      <c r="K541" s="53" t="n"/>
    </row>
    <row r="542">
      <c r="A542" s="53" t="n"/>
      <c r="B542" s="53" t="n"/>
      <c r="C542" s="53" t="n"/>
      <c r="D542" s="53" t="n"/>
      <c r="E542" s="53" t="n"/>
      <c r="F542" s="53" t="n"/>
      <c r="G542" s="42">
        <f>IF($F542="","",IF(ISNUMBER(SEARCH(",",$F542)),"Yes — checks ","Yes — check ")&amp;$F542)</f>
        <v/>
      </c>
      <c r="H542" s="53" t="n"/>
      <c r="I542" s="54" t="n"/>
      <c r="J542" s="53" t="n"/>
      <c r="K542" s="53" t="n"/>
    </row>
    <row r="543">
      <c r="A543" s="53" t="n"/>
      <c r="B543" s="53" t="n"/>
      <c r="C543" s="53" t="n"/>
      <c r="D543" s="53" t="n"/>
      <c r="E543" s="53" t="n"/>
      <c r="F543" s="53" t="n"/>
      <c r="G543" s="42">
        <f>IF($F543="","",IF(ISNUMBER(SEARCH(",",$F543)),"Yes — checks ","Yes — check ")&amp;$F543)</f>
        <v/>
      </c>
      <c r="H543" s="53" t="n"/>
      <c r="I543" s="54" t="n"/>
      <c r="J543" s="53" t="n"/>
      <c r="K543" s="53" t="n"/>
    </row>
    <row r="544">
      <c r="A544" s="53" t="n"/>
      <c r="B544" s="53" t="n"/>
      <c r="C544" s="53" t="n"/>
      <c r="D544" s="53" t="n"/>
      <c r="E544" s="53" t="n"/>
      <c r="F544" s="53" t="n"/>
      <c r="G544" s="42">
        <f>IF($F544="","",IF(ISNUMBER(SEARCH(",",$F544)),"Yes — checks ","Yes — check ")&amp;$F544)</f>
        <v/>
      </c>
      <c r="H544" s="53" t="n"/>
      <c r="I544" s="54" t="n"/>
      <c r="J544" s="53" t="n"/>
      <c r="K544" s="53" t="n"/>
    </row>
    <row r="545">
      <c r="A545" s="53" t="n"/>
      <c r="B545" s="53" t="n"/>
      <c r="C545" s="53" t="n"/>
      <c r="D545" s="53" t="n"/>
      <c r="E545" s="53" t="n"/>
      <c r="F545" s="53" t="n"/>
      <c r="G545" s="42">
        <f>IF($F545="","",IF(ISNUMBER(SEARCH(",",$F545)),"Yes — checks ","Yes — check ")&amp;$F545)</f>
        <v/>
      </c>
      <c r="H545" s="53" t="n"/>
      <c r="I545" s="54" t="n"/>
      <c r="J545" s="53" t="n"/>
      <c r="K545" s="53" t="n"/>
    </row>
    <row r="546">
      <c r="A546" s="53" t="n"/>
      <c r="B546" s="53" t="n"/>
      <c r="C546" s="53" t="n"/>
      <c r="D546" s="53" t="n"/>
      <c r="E546" s="53" t="n"/>
      <c r="F546" s="53" t="n"/>
      <c r="G546" s="42">
        <f>IF($F546="","",IF(ISNUMBER(SEARCH(",",$F546)),"Yes — checks ","Yes — check ")&amp;$F546)</f>
        <v/>
      </c>
      <c r="H546" s="53" t="n"/>
      <c r="I546" s="54" t="n"/>
      <c r="J546" s="53" t="n"/>
      <c r="K546" s="53" t="n"/>
    </row>
    <row r="547">
      <c r="A547" s="53" t="n"/>
      <c r="B547" s="53" t="n"/>
      <c r="C547" s="53" t="n"/>
      <c r="D547" s="53" t="n"/>
      <c r="E547" s="53" t="n"/>
      <c r="F547" s="53" t="n"/>
      <c r="G547" s="42">
        <f>IF($F547="","",IF(ISNUMBER(SEARCH(",",$F547)),"Yes — checks ","Yes — check ")&amp;$F547)</f>
        <v/>
      </c>
      <c r="H547" s="53" t="n"/>
      <c r="I547" s="54" t="n"/>
      <c r="J547" s="53" t="n"/>
      <c r="K547" s="53" t="n"/>
    </row>
    <row r="548">
      <c r="A548" s="53" t="n"/>
      <c r="B548" s="53" t="n"/>
      <c r="C548" s="53" t="n"/>
      <c r="D548" s="53" t="n"/>
      <c r="E548" s="53" t="n"/>
      <c r="F548" s="53" t="n"/>
      <c r="G548" s="42">
        <f>IF($F548="","",IF(ISNUMBER(SEARCH(",",$F548)),"Yes — checks ","Yes — check ")&amp;$F548)</f>
        <v/>
      </c>
      <c r="H548" s="53" t="n"/>
      <c r="I548" s="54" t="n"/>
      <c r="J548" s="53" t="n"/>
      <c r="K548" s="53" t="n"/>
    </row>
    <row r="549">
      <c r="A549" s="53" t="n"/>
      <c r="B549" s="53" t="n"/>
      <c r="C549" s="53" t="n"/>
      <c r="D549" s="53" t="n"/>
      <c r="E549" s="53" t="n"/>
      <c r="F549" s="53" t="n"/>
      <c r="G549" s="42">
        <f>IF($F549="","",IF(ISNUMBER(SEARCH(",",$F549)),"Yes — checks ","Yes — check ")&amp;$F549)</f>
        <v/>
      </c>
      <c r="H549" s="53" t="n"/>
      <c r="I549" s="54" t="n"/>
      <c r="J549" s="53" t="n"/>
      <c r="K549" s="53" t="n"/>
    </row>
    <row r="550">
      <c r="A550" s="53" t="n"/>
      <c r="B550" s="53" t="n"/>
      <c r="C550" s="53" t="n"/>
      <c r="D550" s="53" t="n"/>
      <c r="E550" s="53" t="n"/>
      <c r="F550" s="53" t="n"/>
      <c r="G550" s="42">
        <f>IF($F550="","",IF(ISNUMBER(SEARCH(",",$F550)),"Yes — checks ","Yes — check ")&amp;$F550)</f>
        <v/>
      </c>
      <c r="H550" s="53" t="n"/>
      <c r="I550" s="54" t="n"/>
      <c r="J550" s="53" t="n"/>
      <c r="K550" s="53" t="n"/>
    </row>
    <row r="551">
      <c r="A551" s="53" t="n"/>
      <c r="B551" s="53" t="n"/>
      <c r="C551" s="53" t="n"/>
      <c r="D551" s="53" t="n"/>
      <c r="E551" s="53" t="n"/>
      <c r="F551" s="53" t="n"/>
      <c r="G551" s="42">
        <f>IF($F551="","",IF(ISNUMBER(SEARCH(",",$F551)),"Yes — checks ","Yes — check ")&amp;$F551)</f>
        <v/>
      </c>
      <c r="H551" s="53" t="n"/>
      <c r="I551" s="54" t="n"/>
      <c r="J551" s="53" t="n"/>
      <c r="K551" s="53" t="n"/>
    </row>
    <row r="552">
      <c r="A552" s="53" t="n"/>
      <c r="B552" s="53" t="n"/>
      <c r="C552" s="53" t="n"/>
      <c r="D552" s="53" t="n"/>
      <c r="E552" s="53" t="n"/>
      <c r="F552" s="53" t="n"/>
      <c r="G552" s="42">
        <f>IF($F552="","",IF(ISNUMBER(SEARCH(",",$F552)),"Yes — checks ","Yes — check ")&amp;$F552)</f>
        <v/>
      </c>
      <c r="H552" s="53" t="n"/>
      <c r="I552" s="54" t="n"/>
      <c r="J552" s="53" t="n"/>
      <c r="K552" s="53" t="n"/>
    </row>
    <row r="553">
      <c r="A553" s="53" t="n"/>
      <c r="B553" s="53" t="n"/>
      <c r="C553" s="53" t="n"/>
      <c r="D553" s="53" t="n"/>
      <c r="E553" s="53" t="n"/>
      <c r="F553" s="53" t="n"/>
      <c r="G553" s="42">
        <f>IF($F553="","",IF(ISNUMBER(SEARCH(",",$F553)),"Yes — checks ","Yes — check ")&amp;$F553)</f>
        <v/>
      </c>
      <c r="H553" s="53" t="n"/>
      <c r="I553" s="54" t="n"/>
      <c r="J553" s="53" t="n"/>
      <c r="K553" s="53" t="n"/>
    </row>
    <row r="554">
      <c r="A554" s="53" t="n"/>
      <c r="B554" s="53" t="n"/>
      <c r="C554" s="53" t="n"/>
      <c r="D554" s="53" t="n"/>
      <c r="E554" s="53" t="n"/>
      <c r="F554" s="53" t="n"/>
      <c r="G554" s="42">
        <f>IF($F554="","",IF(ISNUMBER(SEARCH(",",$F554)),"Yes — checks ","Yes — check ")&amp;$F554)</f>
        <v/>
      </c>
      <c r="H554" s="53" t="n"/>
      <c r="I554" s="54" t="n"/>
      <c r="J554" s="53" t="n"/>
      <c r="K554" s="53" t="n"/>
    </row>
    <row r="555">
      <c r="A555" s="53" t="n"/>
      <c r="B555" s="53" t="n"/>
      <c r="C555" s="53" t="n"/>
      <c r="D555" s="53" t="n"/>
      <c r="E555" s="53" t="n"/>
      <c r="F555" s="53" t="n"/>
      <c r="G555" s="42">
        <f>IF($F555="","",IF(ISNUMBER(SEARCH(",",$F555)),"Yes — checks ","Yes — check ")&amp;$F555)</f>
        <v/>
      </c>
      <c r="H555" s="53" t="n"/>
      <c r="I555" s="54" t="n"/>
      <c r="J555" s="53" t="n"/>
      <c r="K555" s="53" t="n"/>
    </row>
    <row r="556">
      <c r="A556" s="53" t="n"/>
      <c r="B556" s="53" t="n"/>
      <c r="C556" s="53" t="n"/>
      <c r="D556" s="53" t="n"/>
      <c r="E556" s="53" t="n"/>
      <c r="F556" s="53" t="n"/>
      <c r="G556" s="42">
        <f>IF($F556="","",IF(ISNUMBER(SEARCH(",",$F556)),"Yes — checks ","Yes — check ")&amp;$F556)</f>
        <v/>
      </c>
      <c r="H556" s="53" t="n"/>
      <c r="I556" s="54" t="n"/>
      <c r="J556" s="53" t="n"/>
      <c r="K556" s="53" t="n"/>
    </row>
    <row r="557">
      <c r="A557" s="53" t="n"/>
      <c r="B557" s="53" t="n"/>
      <c r="C557" s="53" t="n"/>
      <c r="D557" s="53" t="n"/>
      <c r="E557" s="53" t="n"/>
      <c r="F557" s="53" t="n"/>
      <c r="G557" s="42">
        <f>IF($F557="","",IF(ISNUMBER(SEARCH(",",$F557)),"Yes — checks ","Yes — check ")&amp;$F557)</f>
        <v/>
      </c>
      <c r="H557" s="53" t="n"/>
      <c r="I557" s="54" t="n"/>
      <c r="J557" s="53" t="n"/>
      <c r="K557" s="53" t="n"/>
    </row>
    <row r="558">
      <c r="A558" s="53" t="n"/>
      <c r="B558" s="53" t="n"/>
      <c r="C558" s="53" t="n"/>
      <c r="D558" s="53" t="n"/>
      <c r="E558" s="53" t="n"/>
      <c r="F558" s="53" t="n"/>
      <c r="G558" s="42">
        <f>IF($F558="","",IF(ISNUMBER(SEARCH(",",$F558)),"Yes — checks ","Yes — check ")&amp;$F558)</f>
        <v/>
      </c>
      <c r="H558" s="53" t="n"/>
      <c r="I558" s="54" t="n"/>
      <c r="J558" s="53" t="n"/>
      <c r="K558" s="53" t="n"/>
    </row>
    <row r="559">
      <c r="A559" s="53" t="n"/>
      <c r="B559" s="53" t="n"/>
      <c r="C559" s="53" t="n"/>
      <c r="D559" s="53" t="n"/>
      <c r="E559" s="53" t="n"/>
      <c r="F559" s="53" t="n"/>
      <c r="G559" s="42">
        <f>IF($F559="","",IF(ISNUMBER(SEARCH(",",$F559)),"Yes — checks ","Yes — check ")&amp;$F559)</f>
        <v/>
      </c>
      <c r="H559" s="53" t="n"/>
      <c r="I559" s="54" t="n"/>
      <c r="J559" s="53" t="n"/>
      <c r="K559" s="53" t="n"/>
    </row>
    <row r="560">
      <c r="A560" s="53" t="n"/>
      <c r="B560" s="53" t="n"/>
      <c r="C560" s="53" t="n"/>
      <c r="D560" s="53" t="n"/>
      <c r="E560" s="53" t="n"/>
      <c r="F560" s="53" t="n"/>
      <c r="G560" s="42">
        <f>IF($F560="","",IF(ISNUMBER(SEARCH(",",$F560)),"Yes — checks ","Yes — check ")&amp;$F560)</f>
        <v/>
      </c>
      <c r="H560" s="53" t="n"/>
      <c r="I560" s="54" t="n"/>
      <c r="J560" s="53" t="n"/>
      <c r="K560" s="53" t="n"/>
    </row>
    <row r="561">
      <c r="A561" s="53" t="n"/>
      <c r="B561" s="53" t="n"/>
      <c r="C561" s="53" t="n"/>
      <c r="D561" s="53" t="n"/>
      <c r="E561" s="53" t="n"/>
      <c r="F561" s="53" t="n"/>
      <c r="G561" s="42">
        <f>IF($F561="","",IF(ISNUMBER(SEARCH(",",$F561)),"Yes — checks ","Yes — check ")&amp;$F561)</f>
        <v/>
      </c>
      <c r="H561" s="53" t="n"/>
      <c r="I561" s="54" t="n"/>
      <c r="J561" s="53" t="n"/>
      <c r="K561" s="53" t="n"/>
    </row>
    <row r="562">
      <c r="A562" s="53" t="n"/>
      <c r="B562" s="53" t="n"/>
      <c r="C562" s="53" t="n"/>
      <c r="D562" s="53" t="n"/>
      <c r="E562" s="53" t="n"/>
      <c r="F562" s="53" t="n"/>
      <c r="G562" s="42">
        <f>IF($F562="","",IF(ISNUMBER(SEARCH(",",$F562)),"Yes — checks ","Yes — check ")&amp;$F562)</f>
        <v/>
      </c>
      <c r="H562" s="53" t="n"/>
      <c r="I562" s="54" t="n"/>
      <c r="J562" s="53" t="n"/>
      <c r="K562" s="53" t="n"/>
    </row>
    <row r="563">
      <c r="A563" s="53" t="n"/>
      <c r="B563" s="53" t="n"/>
      <c r="C563" s="53" t="n"/>
      <c r="D563" s="53" t="n"/>
      <c r="E563" s="53" t="n"/>
      <c r="F563" s="53" t="n"/>
      <c r="G563" s="42">
        <f>IF($F563="","",IF(ISNUMBER(SEARCH(",",$F563)),"Yes — checks ","Yes — check ")&amp;$F563)</f>
        <v/>
      </c>
      <c r="H563" s="53" t="n"/>
      <c r="I563" s="54" t="n"/>
      <c r="J563" s="53" t="n"/>
      <c r="K563" s="53" t="n"/>
    </row>
    <row r="564">
      <c r="A564" s="53" t="n"/>
      <c r="B564" s="53" t="n"/>
      <c r="C564" s="53" t="n"/>
      <c r="D564" s="53" t="n"/>
      <c r="E564" s="53" t="n"/>
      <c r="F564" s="53" t="n"/>
      <c r="G564" s="42">
        <f>IF($F564="","",IF(ISNUMBER(SEARCH(",",$F564)),"Yes — checks ","Yes — check ")&amp;$F564)</f>
        <v/>
      </c>
      <c r="H564" s="53" t="n"/>
      <c r="I564" s="54" t="n"/>
      <c r="J564" s="53" t="n"/>
      <c r="K564" s="53" t="n"/>
    </row>
    <row r="565">
      <c r="A565" s="53" t="n"/>
      <c r="B565" s="53" t="n"/>
      <c r="C565" s="53" t="n"/>
      <c r="D565" s="53" t="n"/>
      <c r="E565" s="53" t="n"/>
      <c r="F565" s="53" t="n"/>
      <c r="G565" s="42">
        <f>IF($F565="","",IF(ISNUMBER(SEARCH(",",$F565)),"Yes — checks ","Yes — check ")&amp;$F565)</f>
        <v/>
      </c>
      <c r="H565" s="53" t="n"/>
      <c r="I565" s="54" t="n"/>
      <c r="J565" s="53" t="n"/>
      <c r="K565" s="53" t="n"/>
    </row>
    <row r="566">
      <c r="A566" s="53" t="n"/>
      <c r="B566" s="53" t="n"/>
      <c r="C566" s="53" t="n"/>
      <c r="D566" s="53" t="n"/>
      <c r="E566" s="53" t="n"/>
      <c r="F566" s="53" t="n"/>
      <c r="G566" s="42">
        <f>IF($F566="","",IF(ISNUMBER(SEARCH(",",$F566)),"Yes — checks ","Yes — check ")&amp;$F566)</f>
        <v/>
      </c>
      <c r="H566" s="53" t="n"/>
      <c r="I566" s="54" t="n"/>
      <c r="J566" s="53" t="n"/>
      <c r="K566" s="53" t="n"/>
    </row>
    <row r="567">
      <c r="A567" s="53" t="n"/>
      <c r="B567" s="53" t="n"/>
      <c r="C567" s="53" t="n"/>
      <c r="D567" s="53" t="n"/>
      <c r="E567" s="53" t="n"/>
      <c r="F567" s="53" t="n"/>
      <c r="G567" s="42">
        <f>IF($F567="","",IF(ISNUMBER(SEARCH(",",$F567)),"Yes — checks ","Yes — check ")&amp;$F567)</f>
        <v/>
      </c>
      <c r="H567" s="53" t="n"/>
      <c r="I567" s="54" t="n"/>
      <c r="J567" s="53" t="n"/>
      <c r="K567" s="53" t="n"/>
    </row>
    <row r="568">
      <c r="A568" s="53" t="n"/>
      <c r="B568" s="53" t="n"/>
      <c r="C568" s="53" t="n"/>
      <c r="D568" s="53" t="n"/>
      <c r="E568" s="53" t="n"/>
      <c r="F568" s="53" t="n"/>
      <c r="G568" s="42">
        <f>IF($F568="","",IF(ISNUMBER(SEARCH(",",$F568)),"Yes — checks ","Yes — check ")&amp;$F568)</f>
        <v/>
      </c>
      <c r="H568" s="53" t="n"/>
      <c r="I568" s="54" t="n"/>
      <c r="J568" s="53" t="n"/>
      <c r="K568" s="53" t="n"/>
    </row>
    <row r="569">
      <c r="A569" s="53" t="n"/>
      <c r="B569" s="53" t="n"/>
      <c r="C569" s="53" t="n"/>
      <c r="D569" s="53" t="n"/>
      <c r="E569" s="53" t="n"/>
      <c r="F569" s="53" t="n"/>
      <c r="G569" s="42">
        <f>IF($F569="","",IF(ISNUMBER(SEARCH(",",$F569)),"Yes — checks ","Yes — check ")&amp;$F569)</f>
        <v/>
      </c>
      <c r="H569" s="53" t="n"/>
      <c r="I569" s="54" t="n"/>
      <c r="J569" s="53" t="n"/>
      <c r="K569" s="53" t="n"/>
    </row>
    <row r="570">
      <c r="A570" s="53" t="n"/>
      <c r="B570" s="53" t="n"/>
      <c r="C570" s="53" t="n"/>
      <c r="D570" s="53" t="n"/>
      <c r="E570" s="53" t="n"/>
      <c r="F570" s="53" t="n"/>
      <c r="G570" s="42">
        <f>IF($F570="","",IF(ISNUMBER(SEARCH(",",$F570)),"Yes — checks ","Yes — check ")&amp;$F570)</f>
        <v/>
      </c>
      <c r="H570" s="53" t="n"/>
      <c r="I570" s="54" t="n"/>
      <c r="J570" s="53" t="n"/>
      <c r="K570" s="53" t="n"/>
    </row>
    <row r="571">
      <c r="A571" s="53" t="n"/>
      <c r="B571" s="53" t="n"/>
      <c r="C571" s="53" t="n"/>
      <c r="D571" s="53" t="n"/>
      <c r="E571" s="53" t="n"/>
      <c r="F571" s="53" t="n"/>
      <c r="G571" s="42">
        <f>IF($F571="","",IF(ISNUMBER(SEARCH(",",$F571)),"Yes — checks ","Yes — check ")&amp;$F571)</f>
        <v/>
      </c>
      <c r="H571" s="53" t="n"/>
      <c r="I571" s="54" t="n"/>
      <c r="J571" s="53" t="n"/>
      <c r="K571" s="53" t="n"/>
    </row>
    <row r="572">
      <c r="A572" s="53" t="n"/>
      <c r="B572" s="53" t="n"/>
      <c r="C572" s="53" t="n"/>
      <c r="D572" s="53" t="n"/>
      <c r="E572" s="53" t="n"/>
      <c r="F572" s="53" t="n"/>
      <c r="G572" s="42">
        <f>IF($F572="","",IF(ISNUMBER(SEARCH(",",$F572)),"Yes — checks ","Yes — check ")&amp;$F572)</f>
        <v/>
      </c>
      <c r="H572" s="53" t="n"/>
      <c r="I572" s="54" t="n"/>
      <c r="J572" s="53" t="n"/>
      <c r="K572" s="53" t="n"/>
    </row>
    <row r="573">
      <c r="A573" s="53" t="n"/>
      <c r="B573" s="53" t="n"/>
      <c r="C573" s="53" t="n"/>
      <c r="D573" s="53" t="n"/>
      <c r="E573" s="53" t="n"/>
      <c r="F573" s="53" t="n"/>
      <c r="G573" s="42">
        <f>IF($F573="","",IF(ISNUMBER(SEARCH(",",$F573)),"Yes — checks ","Yes — check ")&amp;$F573)</f>
        <v/>
      </c>
      <c r="H573" s="53" t="n"/>
      <c r="I573" s="54" t="n"/>
      <c r="J573" s="53" t="n"/>
      <c r="K573" s="53" t="n"/>
    </row>
    <row r="574">
      <c r="A574" s="53" t="n"/>
      <c r="B574" s="53" t="n"/>
      <c r="C574" s="53" t="n"/>
      <c r="D574" s="53" t="n"/>
      <c r="E574" s="53" t="n"/>
      <c r="F574" s="53" t="n"/>
      <c r="G574" s="42">
        <f>IF($F574="","",IF(ISNUMBER(SEARCH(",",$F574)),"Yes — checks ","Yes — check ")&amp;$F574)</f>
        <v/>
      </c>
      <c r="H574" s="53" t="n"/>
      <c r="I574" s="54" t="n"/>
      <c r="J574" s="53" t="n"/>
      <c r="K574" s="53" t="n"/>
    </row>
    <row r="575">
      <c r="A575" s="53" t="n"/>
      <c r="B575" s="53" t="n"/>
      <c r="C575" s="53" t="n"/>
      <c r="D575" s="53" t="n"/>
      <c r="E575" s="53" t="n"/>
      <c r="F575" s="53" t="n"/>
      <c r="G575" s="42">
        <f>IF($F575="","",IF(ISNUMBER(SEARCH(",",$F575)),"Yes — checks ","Yes — check ")&amp;$F575)</f>
        <v/>
      </c>
      <c r="H575" s="53" t="n"/>
      <c r="I575" s="54" t="n"/>
      <c r="J575" s="53" t="n"/>
      <c r="K575" s="53" t="n"/>
    </row>
    <row r="576">
      <c r="A576" s="53" t="n"/>
      <c r="B576" s="53" t="n"/>
      <c r="C576" s="53" t="n"/>
      <c r="D576" s="53" t="n"/>
      <c r="E576" s="53" t="n"/>
      <c r="F576" s="53" t="n"/>
      <c r="G576" s="42">
        <f>IF($F576="","",IF(ISNUMBER(SEARCH(",",$F576)),"Yes — checks ","Yes — check ")&amp;$F576)</f>
        <v/>
      </c>
      <c r="H576" s="53" t="n"/>
      <c r="I576" s="54" t="n"/>
      <c r="J576" s="53" t="n"/>
      <c r="K576" s="53" t="n"/>
    </row>
    <row r="577">
      <c r="A577" s="53" t="n"/>
      <c r="B577" s="53" t="n"/>
      <c r="C577" s="53" t="n"/>
      <c r="D577" s="53" t="n"/>
      <c r="E577" s="53" t="n"/>
      <c r="F577" s="53" t="n"/>
      <c r="G577" s="42">
        <f>IF($F577="","",IF(ISNUMBER(SEARCH(",",$F577)),"Yes — checks ","Yes — check ")&amp;$F577)</f>
        <v/>
      </c>
      <c r="H577" s="53" t="n"/>
      <c r="I577" s="54" t="n"/>
      <c r="J577" s="53" t="n"/>
      <c r="K577" s="53" t="n"/>
    </row>
    <row r="578">
      <c r="A578" s="53" t="n"/>
      <c r="B578" s="53" t="n"/>
      <c r="C578" s="53" t="n"/>
      <c r="D578" s="53" t="n"/>
      <c r="E578" s="53" t="n"/>
      <c r="F578" s="53" t="n"/>
      <c r="G578" s="42">
        <f>IF($F578="","",IF(ISNUMBER(SEARCH(",",$F578)),"Yes — checks ","Yes — check ")&amp;$F578)</f>
        <v/>
      </c>
      <c r="H578" s="53" t="n"/>
      <c r="I578" s="54" t="n"/>
      <c r="J578" s="53" t="n"/>
      <c r="K578" s="53" t="n"/>
    </row>
    <row r="579">
      <c r="A579" s="53" t="n"/>
      <c r="B579" s="53" t="n"/>
      <c r="C579" s="53" t="n"/>
      <c r="D579" s="53" t="n"/>
      <c r="E579" s="53" t="n"/>
      <c r="F579" s="53" t="n"/>
      <c r="G579" s="42">
        <f>IF($F579="","",IF(ISNUMBER(SEARCH(",",$F579)),"Yes — checks ","Yes — check ")&amp;$F579)</f>
        <v/>
      </c>
      <c r="H579" s="53" t="n"/>
      <c r="I579" s="54" t="n"/>
      <c r="J579" s="53" t="n"/>
      <c r="K579" s="53" t="n"/>
    </row>
    <row r="580">
      <c r="A580" s="53" t="n"/>
      <c r="B580" s="53" t="n"/>
      <c r="C580" s="53" t="n"/>
      <c r="D580" s="53" t="n"/>
      <c r="E580" s="53" t="n"/>
      <c r="F580" s="53" t="n"/>
      <c r="G580" s="42">
        <f>IF($F580="","",IF(ISNUMBER(SEARCH(",",$F580)),"Yes — checks ","Yes — check ")&amp;$F580)</f>
        <v/>
      </c>
      <c r="H580" s="53" t="n"/>
      <c r="I580" s="54" t="n"/>
      <c r="J580" s="53" t="n"/>
      <c r="K580" s="53" t="n"/>
    </row>
    <row r="581">
      <c r="A581" s="53" t="n"/>
      <c r="B581" s="53" t="n"/>
      <c r="C581" s="53" t="n"/>
      <c r="D581" s="53" t="n"/>
      <c r="E581" s="53" t="n"/>
      <c r="F581" s="53" t="n"/>
      <c r="G581" s="42">
        <f>IF($F581="","",IF(ISNUMBER(SEARCH(",",$F581)),"Yes — checks ","Yes — check ")&amp;$F581)</f>
        <v/>
      </c>
      <c r="H581" s="53" t="n"/>
      <c r="I581" s="54" t="n"/>
      <c r="J581" s="53" t="n"/>
      <c r="K581" s="53" t="n"/>
    </row>
    <row r="582">
      <c r="A582" s="53" t="n"/>
      <c r="B582" s="53" t="n"/>
      <c r="C582" s="53" t="n"/>
      <c r="D582" s="53" t="n"/>
      <c r="E582" s="53" t="n"/>
      <c r="F582" s="53" t="n"/>
      <c r="G582" s="42">
        <f>IF($F582="","",IF(ISNUMBER(SEARCH(",",$F582)),"Yes — checks ","Yes — check ")&amp;$F582)</f>
        <v/>
      </c>
      <c r="H582" s="53" t="n"/>
      <c r="I582" s="54" t="n"/>
      <c r="J582" s="53" t="n"/>
      <c r="K582" s="53" t="n"/>
    </row>
    <row r="583">
      <c r="A583" s="53" t="n"/>
      <c r="B583" s="53" t="n"/>
      <c r="C583" s="53" t="n"/>
      <c r="D583" s="53" t="n"/>
      <c r="E583" s="53" t="n"/>
      <c r="F583" s="53" t="n"/>
      <c r="G583" s="42">
        <f>IF($F583="","",IF(ISNUMBER(SEARCH(",",$F583)),"Yes — checks ","Yes — check ")&amp;$F583)</f>
        <v/>
      </c>
      <c r="H583" s="53" t="n"/>
      <c r="I583" s="54" t="n"/>
      <c r="J583" s="53" t="n"/>
      <c r="K583" s="53" t="n"/>
    </row>
    <row r="584">
      <c r="A584" s="53" t="n"/>
      <c r="B584" s="53" t="n"/>
      <c r="C584" s="53" t="n"/>
      <c r="D584" s="53" t="n"/>
      <c r="E584" s="53" t="n"/>
      <c r="F584" s="53" t="n"/>
      <c r="G584" s="42">
        <f>IF($F584="","",IF(ISNUMBER(SEARCH(",",$F584)),"Yes — checks ","Yes — check ")&amp;$F584)</f>
        <v/>
      </c>
      <c r="H584" s="53" t="n"/>
      <c r="I584" s="54" t="n"/>
      <c r="J584" s="53" t="n"/>
      <c r="K584" s="53" t="n"/>
    </row>
    <row r="585">
      <c r="A585" s="53" t="n"/>
      <c r="B585" s="53" t="n"/>
      <c r="C585" s="53" t="n"/>
      <c r="D585" s="53" t="n"/>
      <c r="E585" s="53" t="n"/>
      <c r="F585" s="53" t="n"/>
      <c r="G585" s="42">
        <f>IF($F585="","",IF(ISNUMBER(SEARCH(",",$F585)),"Yes — checks ","Yes — check ")&amp;$F585)</f>
        <v/>
      </c>
      <c r="H585" s="53" t="n"/>
      <c r="I585" s="54" t="n"/>
      <c r="J585" s="53" t="n"/>
      <c r="K585" s="53" t="n"/>
    </row>
    <row r="586">
      <c r="A586" s="53" t="n"/>
      <c r="B586" s="53" t="n"/>
      <c r="C586" s="53" t="n"/>
      <c r="D586" s="53" t="n"/>
      <c r="E586" s="53" t="n"/>
      <c r="F586" s="53" t="n"/>
      <c r="G586" s="42">
        <f>IF($F586="","",IF(ISNUMBER(SEARCH(",",$F586)),"Yes — checks ","Yes — check ")&amp;$F586)</f>
        <v/>
      </c>
      <c r="H586" s="53" t="n"/>
      <c r="I586" s="54" t="n"/>
      <c r="J586" s="53" t="n"/>
      <c r="K586" s="53" t="n"/>
    </row>
    <row r="587">
      <c r="A587" s="53" t="n"/>
      <c r="B587" s="53" t="n"/>
      <c r="C587" s="53" t="n"/>
      <c r="D587" s="53" t="n"/>
      <c r="E587" s="53" t="n"/>
      <c r="F587" s="53" t="n"/>
      <c r="G587" s="42">
        <f>IF($F587="","",IF(ISNUMBER(SEARCH(",",$F587)),"Yes — checks ","Yes — check ")&amp;$F587)</f>
        <v/>
      </c>
      <c r="H587" s="53" t="n"/>
      <c r="I587" s="54" t="n"/>
      <c r="J587" s="53" t="n"/>
      <c r="K587" s="53" t="n"/>
    </row>
    <row r="588">
      <c r="A588" s="53" t="n"/>
      <c r="B588" s="53" t="n"/>
      <c r="C588" s="53" t="n"/>
      <c r="D588" s="53" t="n"/>
      <c r="E588" s="53" t="n"/>
      <c r="F588" s="53" t="n"/>
      <c r="G588" s="42">
        <f>IF($F588="","",IF(ISNUMBER(SEARCH(",",$F588)),"Yes — checks ","Yes — check ")&amp;$F588)</f>
        <v/>
      </c>
      <c r="H588" s="53" t="n"/>
      <c r="I588" s="54" t="n"/>
      <c r="J588" s="53" t="n"/>
      <c r="K588" s="53" t="n"/>
    </row>
    <row r="589">
      <c r="A589" s="53" t="n"/>
      <c r="B589" s="53" t="n"/>
      <c r="C589" s="53" t="n"/>
      <c r="D589" s="53" t="n"/>
      <c r="E589" s="53" t="n"/>
      <c r="F589" s="53" t="n"/>
      <c r="G589" s="42">
        <f>IF($F589="","",IF(ISNUMBER(SEARCH(",",$F589)),"Yes — checks ","Yes — check ")&amp;$F589)</f>
        <v/>
      </c>
      <c r="H589" s="53" t="n"/>
      <c r="I589" s="54" t="n"/>
      <c r="J589" s="53" t="n"/>
      <c r="K589" s="53" t="n"/>
    </row>
    <row r="590">
      <c r="A590" s="53" t="n"/>
      <c r="B590" s="53" t="n"/>
      <c r="C590" s="53" t="n"/>
      <c r="D590" s="53" t="n"/>
      <c r="E590" s="53" t="n"/>
      <c r="F590" s="53" t="n"/>
      <c r="G590" s="42">
        <f>IF($F590="","",IF(ISNUMBER(SEARCH(",",$F590)),"Yes — checks ","Yes — check ")&amp;$F590)</f>
        <v/>
      </c>
      <c r="H590" s="53" t="n"/>
      <c r="I590" s="54" t="n"/>
      <c r="J590" s="53" t="n"/>
      <c r="K590" s="53" t="n"/>
    </row>
    <row r="591">
      <c r="A591" s="53" t="n"/>
      <c r="B591" s="53" t="n"/>
      <c r="C591" s="53" t="n"/>
      <c r="D591" s="53" t="n"/>
      <c r="E591" s="53" t="n"/>
      <c r="F591" s="53" t="n"/>
      <c r="G591" s="42">
        <f>IF($F591="","",IF(ISNUMBER(SEARCH(",",$F591)),"Yes — checks ","Yes — check ")&amp;$F591)</f>
        <v/>
      </c>
      <c r="H591" s="53" t="n"/>
      <c r="I591" s="54" t="n"/>
      <c r="J591" s="53" t="n"/>
      <c r="K591" s="53" t="n"/>
    </row>
    <row r="592">
      <c r="A592" s="53" t="n"/>
      <c r="B592" s="53" t="n"/>
      <c r="C592" s="53" t="n"/>
      <c r="D592" s="53" t="n"/>
      <c r="E592" s="53" t="n"/>
      <c r="F592" s="53" t="n"/>
      <c r="G592" s="42">
        <f>IF($F592="","",IF(ISNUMBER(SEARCH(",",$F592)),"Yes — checks ","Yes — check ")&amp;$F592)</f>
        <v/>
      </c>
      <c r="H592" s="53" t="n"/>
      <c r="I592" s="54" t="n"/>
      <c r="J592" s="53" t="n"/>
      <c r="K592" s="53" t="n"/>
    </row>
    <row r="593">
      <c r="A593" s="53" t="n"/>
      <c r="B593" s="53" t="n"/>
      <c r="C593" s="53" t="n"/>
      <c r="D593" s="53" t="n"/>
      <c r="E593" s="53" t="n"/>
      <c r="F593" s="53" t="n"/>
      <c r="G593" s="42">
        <f>IF($F593="","",IF(ISNUMBER(SEARCH(",",$F593)),"Yes — checks ","Yes — check ")&amp;$F593)</f>
        <v/>
      </c>
      <c r="H593" s="53" t="n"/>
      <c r="I593" s="54" t="n"/>
      <c r="J593" s="53" t="n"/>
      <c r="K593" s="53" t="n"/>
    </row>
    <row r="594">
      <c r="A594" s="53" t="n"/>
      <c r="B594" s="53" t="n"/>
      <c r="C594" s="53" t="n"/>
      <c r="D594" s="53" t="n"/>
      <c r="E594" s="53" t="n"/>
      <c r="F594" s="53" t="n"/>
      <c r="G594" s="42">
        <f>IF($F594="","",IF(ISNUMBER(SEARCH(",",$F594)),"Yes — checks ","Yes — check ")&amp;$F594)</f>
        <v/>
      </c>
      <c r="H594" s="53" t="n"/>
      <c r="I594" s="54" t="n"/>
      <c r="J594" s="53" t="n"/>
      <c r="K594" s="53" t="n"/>
    </row>
    <row r="595">
      <c r="A595" s="53" t="n"/>
      <c r="B595" s="53" t="n"/>
      <c r="C595" s="53" t="n"/>
      <c r="D595" s="53" t="n"/>
      <c r="E595" s="53" t="n"/>
      <c r="F595" s="53" t="n"/>
      <c r="G595" s="42">
        <f>IF($F595="","",IF(ISNUMBER(SEARCH(",",$F595)),"Yes — checks ","Yes — check ")&amp;$F595)</f>
        <v/>
      </c>
      <c r="H595" s="53" t="n"/>
      <c r="I595" s="54" t="n"/>
      <c r="J595" s="53" t="n"/>
      <c r="K595" s="53" t="n"/>
    </row>
    <row r="596">
      <c r="A596" s="53" t="n"/>
      <c r="B596" s="53" t="n"/>
      <c r="C596" s="53" t="n"/>
      <c r="D596" s="53" t="n"/>
      <c r="E596" s="53" t="n"/>
      <c r="F596" s="53" t="n"/>
      <c r="G596" s="42">
        <f>IF($F596="","",IF(ISNUMBER(SEARCH(",",$F596)),"Yes — checks ","Yes — check ")&amp;$F596)</f>
        <v/>
      </c>
      <c r="H596" s="53" t="n"/>
      <c r="I596" s="54" t="n"/>
      <c r="J596" s="53" t="n"/>
      <c r="K596" s="53" t="n"/>
    </row>
    <row r="597">
      <c r="A597" s="53" t="n"/>
      <c r="B597" s="53" t="n"/>
      <c r="C597" s="53" t="n"/>
      <c r="D597" s="53" t="n"/>
      <c r="E597" s="53" t="n"/>
      <c r="F597" s="53" t="n"/>
      <c r="G597" s="42">
        <f>IF($F597="","",IF(ISNUMBER(SEARCH(",",$F597)),"Yes — checks ","Yes — check ")&amp;$F597)</f>
        <v/>
      </c>
      <c r="H597" s="53" t="n"/>
      <c r="I597" s="54" t="n"/>
      <c r="J597" s="53" t="n"/>
      <c r="K597" s="53" t="n"/>
    </row>
    <row r="598">
      <c r="A598" s="53" t="n"/>
      <c r="B598" s="53" t="n"/>
      <c r="C598" s="53" t="n"/>
      <c r="D598" s="53" t="n"/>
      <c r="E598" s="53" t="n"/>
      <c r="F598" s="53" t="n"/>
      <c r="G598" s="42">
        <f>IF($F598="","",IF(ISNUMBER(SEARCH(",",$F598)),"Yes — checks ","Yes — check ")&amp;$F598)</f>
        <v/>
      </c>
      <c r="H598" s="53" t="n"/>
      <c r="I598" s="54" t="n"/>
      <c r="J598" s="53" t="n"/>
      <c r="K598" s="53" t="n"/>
    </row>
    <row r="599">
      <c r="A599" s="53" t="n"/>
      <c r="B599" s="53" t="n"/>
      <c r="C599" s="53" t="n"/>
      <c r="D599" s="53" t="n"/>
      <c r="E599" s="53" t="n"/>
      <c r="F599" s="53" t="n"/>
      <c r="G599" s="42">
        <f>IF($F599="","",IF(ISNUMBER(SEARCH(",",$F599)),"Yes — checks ","Yes — check ")&amp;$F599)</f>
        <v/>
      </c>
      <c r="H599" s="53" t="n"/>
      <c r="I599" s="54" t="n"/>
      <c r="J599" s="53" t="n"/>
      <c r="K599" s="53" t="n"/>
    </row>
    <row r="600">
      <c r="A600" s="53" t="n"/>
      <c r="B600" s="53" t="n"/>
      <c r="C600" s="53" t="n"/>
      <c r="D600" s="53" t="n"/>
      <c r="E600" s="53" t="n"/>
      <c r="F600" s="53" t="n"/>
      <c r="G600" s="42">
        <f>IF($F600="","",IF(ISNUMBER(SEARCH(",",$F600)),"Yes — checks ","Yes — check ")&amp;$F600)</f>
        <v/>
      </c>
      <c r="H600" s="53" t="n"/>
      <c r="I600" s="54" t="n"/>
      <c r="J600" s="53" t="n"/>
      <c r="K600" s="53" t="n"/>
    </row>
    <row r="601">
      <c r="A601" s="53" t="n"/>
      <c r="B601" s="53" t="n"/>
      <c r="C601" s="53" t="n"/>
      <c r="D601" s="53" t="n"/>
      <c r="E601" s="53" t="n"/>
      <c r="F601" s="53" t="n"/>
      <c r="G601" s="42">
        <f>IF($F601="","",IF(ISNUMBER(SEARCH(",",$F601)),"Yes — checks ","Yes — check ")&amp;$F601)</f>
        <v/>
      </c>
      <c r="H601" s="53" t="n"/>
      <c r="I601" s="54" t="n"/>
      <c r="J601" s="53" t="n"/>
      <c r="K601" s="53" t="n"/>
    </row>
    <row r="602">
      <c r="A602" s="53" t="n"/>
      <c r="B602" s="53" t="n"/>
      <c r="C602" s="53" t="n"/>
      <c r="D602" s="53" t="n"/>
      <c r="E602" s="53" t="n"/>
      <c r="F602" s="53" t="n"/>
      <c r="G602" s="42">
        <f>IF($F602="","",IF(ISNUMBER(SEARCH(",",$F602)),"Yes — checks ","Yes — check ")&amp;$F602)</f>
        <v/>
      </c>
      <c r="H602" s="53" t="n"/>
      <c r="I602" s="54" t="n"/>
      <c r="J602" s="53" t="n"/>
      <c r="K602" s="53" t="n"/>
    </row>
    <row r="603">
      <c r="A603" s="53" t="n"/>
      <c r="B603" s="53" t="n"/>
      <c r="C603" s="53" t="n"/>
      <c r="D603" s="53" t="n"/>
      <c r="E603" s="53" t="n"/>
      <c r="F603" s="53" t="n"/>
      <c r="G603" s="42">
        <f>IF($F603="","",IF(ISNUMBER(SEARCH(",",$F603)),"Yes — checks ","Yes — check ")&amp;$F603)</f>
        <v/>
      </c>
      <c r="H603" s="53" t="n"/>
      <c r="I603" s="54" t="n"/>
      <c r="J603" s="53" t="n"/>
      <c r="K603" s="53" t="n"/>
    </row>
    <row r="604">
      <c r="A604" s="53" t="n"/>
      <c r="B604" s="53" t="n"/>
      <c r="C604" s="53" t="n"/>
      <c r="D604" s="53" t="n"/>
      <c r="E604" s="53" t="n"/>
      <c r="F604" s="53" t="n"/>
      <c r="G604" s="42">
        <f>IF($F604="","",IF(ISNUMBER(SEARCH(",",$F604)),"Yes — checks ","Yes — check ")&amp;$F604)</f>
        <v/>
      </c>
      <c r="H604" s="53" t="n"/>
      <c r="I604" s="54" t="n"/>
      <c r="J604" s="53" t="n"/>
      <c r="K604" s="53" t="n"/>
    </row>
  </sheetData>
  <autoFilter ref="A4:L600"/>
  <mergeCells count="12">
    <mergeCell ref="A30:L30"/>
    <mergeCell ref="A2:L2"/>
    <mergeCell ref="A25:L25"/>
    <mergeCell ref="A41:L41"/>
    <mergeCell ref="A5:L5"/>
    <mergeCell ref="A1:L1"/>
    <mergeCell ref="A55:L55"/>
    <mergeCell ref="A61:L61"/>
    <mergeCell ref="A9:L9"/>
    <mergeCell ref="A79:L79"/>
    <mergeCell ref="A18:L18"/>
    <mergeCell ref="A87:L87"/>
  </mergeCells>
  <conditionalFormatting sqref="H5:H60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4">
      <formula>"N/A"</formula>
    </cfRule>
    <cfRule type="cellIs" priority="4" operator="equal" dxfId="5">
      <formula>"Not run"</formula>
    </cfRule>
  </conditionalFormatting>
  <dataValidations count="2">
    <dataValidation sqref="H5:H604" showDropDown="0" showInputMessage="0" showErrorMessage="0" allowBlank="1" errorTitle="Result" error="Pass, Fail, N/A or Not run" type="list">
      <formula1>"Pass,Fail,N/A,Not run"</formula1>
    </dataValidation>
    <dataValidation sqref="A5:A604" showDropDown="0" showInputMessage="0" showErrorMessage="0" allowBlank="1" type="list">
      <formula1>"G0,G1,G2,G3,G4,G5,G6,G7,G8,G9"</formula1>
    </dataValidation>
  </dataValidations>
  <hyperlinks>
    <hyperlink xmlns:r="http://schemas.openxmlformats.org/officeDocument/2006/relationships" ref="L14" r:id="rId1"/>
    <hyperlink xmlns:r="http://schemas.openxmlformats.org/officeDocument/2006/relationships" ref="L15" r:id="rId2"/>
    <hyperlink xmlns:r="http://schemas.openxmlformats.org/officeDocument/2006/relationships" ref="L20" r:id="rId3"/>
    <hyperlink xmlns:r="http://schemas.openxmlformats.org/officeDocument/2006/relationships" ref="L22" r:id="rId4"/>
    <hyperlink xmlns:r="http://schemas.openxmlformats.org/officeDocument/2006/relationships" ref="L28" r:id="rId5"/>
    <hyperlink xmlns:r="http://schemas.openxmlformats.org/officeDocument/2006/relationships" ref="L33" r:id="rId6"/>
    <hyperlink xmlns:r="http://schemas.openxmlformats.org/officeDocument/2006/relationships" ref="L42" r:id="rId7"/>
    <hyperlink xmlns:r="http://schemas.openxmlformats.org/officeDocument/2006/relationships" ref="L43" r:id="rId8"/>
    <hyperlink xmlns:r="http://schemas.openxmlformats.org/officeDocument/2006/relationships" ref="L44" r:id="rId9"/>
    <hyperlink xmlns:r="http://schemas.openxmlformats.org/officeDocument/2006/relationships" ref="L45" r:id="rId10"/>
    <hyperlink xmlns:r="http://schemas.openxmlformats.org/officeDocument/2006/relationships" ref="L46" r:id="rId11"/>
    <hyperlink xmlns:r="http://schemas.openxmlformats.org/officeDocument/2006/relationships" ref="L47" r:id="rId12"/>
    <hyperlink xmlns:r="http://schemas.openxmlformats.org/officeDocument/2006/relationships" ref="L48" r:id="rId13"/>
    <hyperlink xmlns:r="http://schemas.openxmlformats.org/officeDocument/2006/relationships" ref="L49" r:id="rId14"/>
    <hyperlink xmlns:r="http://schemas.openxmlformats.org/officeDocument/2006/relationships" ref="L50" r:id="rId15"/>
    <hyperlink xmlns:r="http://schemas.openxmlformats.org/officeDocument/2006/relationships" ref="L51" r:id="rId16"/>
    <hyperlink xmlns:r="http://schemas.openxmlformats.org/officeDocument/2006/relationships" ref="L52" r:id="rId17"/>
    <hyperlink xmlns:r="http://schemas.openxmlformats.org/officeDocument/2006/relationships" ref="L53" r:id="rId18"/>
    <hyperlink xmlns:r="http://schemas.openxmlformats.org/officeDocument/2006/relationships" ref="L58" r:id="rId19"/>
    <hyperlink xmlns:r="http://schemas.openxmlformats.org/officeDocument/2006/relationships" ref="L59" r:id="rId20"/>
    <hyperlink xmlns:r="http://schemas.openxmlformats.org/officeDocument/2006/relationships" ref="L60" r:id="rId21"/>
    <hyperlink xmlns:r="http://schemas.openxmlformats.org/officeDocument/2006/relationships" ref="L63" r:id="rId22"/>
    <hyperlink xmlns:r="http://schemas.openxmlformats.org/officeDocument/2006/relationships" ref="L69" r:id="rId23"/>
    <hyperlink xmlns:r="http://schemas.openxmlformats.org/officeDocument/2006/relationships" ref="L72" r:id="rId24"/>
    <hyperlink xmlns:r="http://schemas.openxmlformats.org/officeDocument/2006/relationships" ref="L74" r:id="rId25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0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48" customWidth="1" min="4" max="4"/>
    <col width="20" customWidth="1" min="5" max="5"/>
    <col width="10" customWidth="1" min="6" max="6"/>
    <col width="12" customWidth="1" min="7" max="7"/>
    <col width="12" customWidth="1" min="8" max="8"/>
    <col width="34" customWidth="1" min="9" max="9"/>
  </cols>
  <sheetData>
    <row r="1" ht="24" customHeight="1">
      <c r="A1" s="9" t="inlineStr">
        <is>
          <t>Re-validation Log — after the build</t>
        </is>
      </c>
    </row>
    <row r="2" ht="32" customHeight="1">
      <c r="A2" s="10" t="inlineStr">
        <is>
          <t>One row per event. Choose the Event; What to re-run and the doc 22 Trigger fill in from the Triggers tab. Record the result, and the doc 22 Run ID if the event started a run there.</t>
        </is>
      </c>
    </row>
    <row r="4" ht="32" customHeight="1">
      <c r="A4" s="34" t="inlineStr">
        <is>
          <t>Date</t>
        </is>
      </c>
      <c r="B4" s="34" t="inlineStr">
        <is>
          <t>Event</t>
        </is>
      </c>
      <c r="C4" s="34" t="inlineStr">
        <is>
          <t>What changed</t>
        </is>
      </c>
      <c r="D4" s="34" t="inlineStr">
        <is>
          <t>What to re-run</t>
        </is>
      </c>
      <c r="E4" s="34" t="inlineStr">
        <is>
          <t>Doc 22 Trigger</t>
        </is>
      </c>
      <c r="F4" s="34" t="inlineStr">
        <is>
          <t>Result</t>
        </is>
      </c>
      <c r="G4" s="34" t="inlineStr">
        <is>
          <t>Doc 22 Run ID</t>
        </is>
      </c>
      <c r="H4" s="34" t="inlineStr">
        <is>
          <t>Checked by</t>
        </is>
      </c>
      <c r="I4" s="34" t="inlineStr">
        <is>
          <t>Notes</t>
        </is>
      </c>
    </row>
    <row r="5" ht="30" customHeight="1">
      <c r="A5" s="43" t="n"/>
      <c r="B5" s="28" t="n"/>
      <c r="C5" s="15" t="n"/>
      <c r="D5" s="40">
        <f>IF($B5="","",IFERROR(VLOOKUP($B5,Triggers!$A$5:$C$40,2,FALSE),"— not a listed event"))</f>
        <v/>
      </c>
      <c r="E5" s="40">
        <f>IF($B5="","",IFERROR(VLOOKUP($B5,Triggers!$A$5:$C$40,3,FALSE),""))</f>
        <v/>
      </c>
      <c r="F5" s="17" t="n"/>
      <c r="G5" s="16" t="n"/>
      <c r="H5" s="16" t="n"/>
      <c r="I5" s="15" t="n"/>
    </row>
    <row r="6" ht="30" customHeight="1">
      <c r="A6" s="50" t="n"/>
      <c r="B6" s="46" t="n"/>
      <c r="C6" s="22" t="n"/>
      <c r="D6" s="47">
        <f>IF($B6="","",IFERROR(VLOOKUP($B6,Triggers!$A$5:$C$40,2,FALSE),"— not a listed event"))</f>
        <v/>
      </c>
      <c r="E6" s="47">
        <f>IF($B6="","",IFERROR(VLOOKUP($B6,Triggers!$A$5:$C$40,3,FALSE),""))</f>
        <v/>
      </c>
      <c r="F6" s="24" t="n"/>
      <c r="G6" s="23" t="n"/>
      <c r="H6" s="23" t="n"/>
      <c r="I6" s="22" t="n"/>
    </row>
    <row r="7" ht="30" customHeight="1">
      <c r="A7" s="43" t="n"/>
      <c r="B7" s="28" t="n"/>
      <c r="C7" s="15" t="n"/>
      <c r="D7" s="40">
        <f>IF($B7="","",IFERROR(VLOOKUP($B7,Triggers!$A$5:$C$40,2,FALSE),"— not a listed event"))</f>
        <v/>
      </c>
      <c r="E7" s="40">
        <f>IF($B7="","",IFERROR(VLOOKUP($B7,Triggers!$A$5:$C$40,3,FALSE),""))</f>
        <v/>
      </c>
      <c r="F7" s="17" t="n"/>
      <c r="G7" s="16" t="n"/>
      <c r="H7" s="16" t="n"/>
      <c r="I7" s="15" t="n"/>
    </row>
    <row r="8" ht="30" customHeight="1">
      <c r="A8" s="50" t="n"/>
      <c r="B8" s="46" t="n"/>
      <c r="C8" s="22" t="n"/>
      <c r="D8" s="47">
        <f>IF($B8="","",IFERROR(VLOOKUP($B8,Triggers!$A$5:$C$40,2,FALSE),"— not a listed event"))</f>
        <v/>
      </c>
      <c r="E8" s="47">
        <f>IF($B8="","",IFERROR(VLOOKUP($B8,Triggers!$A$5:$C$40,3,FALSE),""))</f>
        <v/>
      </c>
      <c r="F8" s="24" t="n"/>
      <c r="G8" s="23" t="n"/>
      <c r="H8" s="23" t="n"/>
      <c r="I8" s="22" t="n"/>
    </row>
    <row r="9" ht="30" customHeight="1">
      <c r="A9" s="43" t="n"/>
      <c r="B9" s="28" t="n"/>
      <c r="C9" s="15" t="n"/>
      <c r="D9" s="40">
        <f>IF($B9="","",IFERROR(VLOOKUP($B9,Triggers!$A$5:$C$40,2,FALSE),"— not a listed event"))</f>
        <v/>
      </c>
      <c r="E9" s="40">
        <f>IF($B9="","",IFERROR(VLOOKUP($B9,Triggers!$A$5:$C$40,3,FALSE),""))</f>
        <v/>
      </c>
      <c r="F9" s="17" t="n"/>
      <c r="G9" s="16" t="n"/>
      <c r="H9" s="16" t="n"/>
      <c r="I9" s="15" t="n"/>
    </row>
    <row r="10" ht="30" customHeight="1">
      <c r="A10" s="50" t="n"/>
      <c r="B10" s="46" t="n"/>
      <c r="C10" s="22" t="n"/>
      <c r="D10" s="47">
        <f>IF($B10="","",IFERROR(VLOOKUP($B10,Triggers!$A$5:$C$40,2,FALSE),"— not a listed event"))</f>
        <v/>
      </c>
      <c r="E10" s="47">
        <f>IF($B10="","",IFERROR(VLOOKUP($B10,Triggers!$A$5:$C$40,3,FALSE),""))</f>
        <v/>
      </c>
      <c r="F10" s="24" t="n"/>
      <c r="G10" s="23" t="n"/>
      <c r="H10" s="23" t="n"/>
      <c r="I10" s="22" t="n"/>
    </row>
    <row r="11" ht="30" customHeight="1">
      <c r="A11" s="43" t="n"/>
      <c r="B11" s="28" t="n"/>
      <c r="C11" s="15" t="n"/>
      <c r="D11" s="40">
        <f>IF($B11="","",IFERROR(VLOOKUP($B11,Triggers!$A$5:$C$40,2,FALSE),"— not a listed event"))</f>
        <v/>
      </c>
      <c r="E11" s="40">
        <f>IF($B11="","",IFERROR(VLOOKUP($B11,Triggers!$A$5:$C$40,3,FALSE),""))</f>
        <v/>
      </c>
      <c r="F11" s="17" t="n"/>
      <c r="G11" s="16" t="n"/>
      <c r="H11" s="16" t="n"/>
      <c r="I11" s="15" t="n"/>
    </row>
    <row r="12" ht="30" customHeight="1">
      <c r="A12" s="50" t="n"/>
      <c r="B12" s="46" t="n"/>
      <c r="C12" s="22" t="n"/>
      <c r="D12" s="47">
        <f>IF($B12="","",IFERROR(VLOOKUP($B12,Triggers!$A$5:$C$40,2,FALSE),"— not a listed event"))</f>
        <v/>
      </c>
      <c r="E12" s="47">
        <f>IF($B12="","",IFERROR(VLOOKUP($B12,Triggers!$A$5:$C$40,3,FALSE),""))</f>
        <v/>
      </c>
      <c r="F12" s="24" t="n"/>
      <c r="G12" s="23" t="n"/>
      <c r="H12" s="23" t="n"/>
      <c r="I12" s="22" t="n"/>
    </row>
    <row r="13" ht="30" customHeight="1">
      <c r="A13" s="43" t="n"/>
      <c r="B13" s="28" t="n"/>
      <c r="C13" s="15" t="n"/>
      <c r="D13" s="40">
        <f>IF($B13="","",IFERROR(VLOOKUP($B13,Triggers!$A$5:$C$40,2,FALSE),"— not a listed event"))</f>
        <v/>
      </c>
      <c r="E13" s="40">
        <f>IF($B13="","",IFERROR(VLOOKUP($B13,Triggers!$A$5:$C$40,3,FALSE),""))</f>
        <v/>
      </c>
      <c r="F13" s="17" t="n"/>
      <c r="G13" s="16" t="n"/>
      <c r="H13" s="16" t="n"/>
      <c r="I13" s="15" t="n"/>
    </row>
    <row r="14" ht="30" customHeight="1">
      <c r="A14" s="50" t="n"/>
      <c r="B14" s="46" t="n"/>
      <c r="C14" s="22" t="n"/>
      <c r="D14" s="47">
        <f>IF($B14="","",IFERROR(VLOOKUP($B14,Triggers!$A$5:$C$40,2,FALSE),"— not a listed event"))</f>
        <v/>
      </c>
      <c r="E14" s="47">
        <f>IF($B14="","",IFERROR(VLOOKUP($B14,Triggers!$A$5:$C$40,3,FALSE),""))</f>
        <v/>
      </c>
      <c r="F14" s="24" t="n"/>
      <c r="G14" s="23" t="n"/>
      <c r="H14" s="23" t="n"/>
      <c r="I14" s="22" t="n"/>
    </row>
    <row r="15" ht="30" customHeight="1">
      <c r="A15" s="43" t="n"/>
      <c r="B15" s="28" t="n"/>
      <c r="C15" s="15" t="n"/>
      <c r="D15" s="40">
        <f>IF($B15="","",IFERROR(VLOOKUP($B15,Triggers!$A$5:$C$40,2,FALSE),"— not a listed event"))</f>
        <v/>
      </c>
      <c r="E15" s="40">
        <f>IF($B15="","",IFERROR(VLOOKUP($B15,Triggers!$A$5:$C$40,3,FALSE),""))</f>
        <v/>
      </c>
      <c r="F15" s="17" t="n"/>
      <c r="G15" s="16" t="n"/>
      <c r="H15" s="16" t="n"/>
      <c r="I15" s="15" t="n"/>
    </row>
    <row r="16" ht="30" customHeight="1">
      <c r="A16" s="50" t="n"/>
      <c r="B16" s="46" t="n"/>
      <c r="C16" s="22" t="n"/>
      <c r="D16" s="47">
        <f>IF($B16="","",IFERROR(VLOOKUP($B16,Triggers!$A$5:$C$40,2,FALSE),"— not a listed event"))</f>
        <v/>
      </c>
      <c r="E16" s="47">
        <f>IF($B16="","",IFERROR(VLOOKUP($B16,Triggers!$A$5:$C$40,3,FALSE),""))</f>
        <v/>
      </c>
      <c r="F16" s="24" t="n"/>
      <c r="G16" s="23" t="n"/>
      <c r="H16" s="23" t="n"/>
      <c r="I16" s="22" t="n"/>
    </row>
    <row r="17" ht="30" customHeight="1">
      <c r="A17" s="43" t="n"/>
      <c r="B17" s="28" t="n"/>
      <c r="C17" s="15" t="n"/>
      <c r="D17" s="40">
        <f>IF($B17="","",IFERROR(VLOOKUP($B17,Triggers!$A$5:$C$40,2,FALSE),"— not a listed event"))</f>
        <v/>
      </c>
      <c r="E17" s="40">
        <f>IF($B17="","",IFERROR(VLOOKUP($B17,Triggers!$A$5:$C$40,3,FALSE),""))</f>
        <v/>
      </c>
      <c r="F17" s="17" t="n"/>
      <c r="G17" s="16" t="n"/>
      <c r="H17" s="16" t="n"/>
      <c r="I17" s="15" t="n"/>
    </row>
    <row r="18" ht="30" customHeight="1">
      <c r="A18" s="50" t="n"/>
      <c r="B18" s="46" t="n"/>
      <c r="C18" s="22" t="n"/>
      <c r="D18" s="47">
        <f>IF($B18="","",IFERROR(VLOOKUP($B18,Triggers!$A$5:$C$40,2,FALSE),"— not a listed event"))</f>
        <v/>
      </c>
      <c r="E18" s="47">
        <f>IF($B18="","",IFERROR(VLOOKUP($B18,Triggers!$A$5:$C$40,3,FALSE),""))</f>
        <v/>
      </c>
      <c r="F18" s="24" t="n"/>
      <c r="G18" s="23" t="n"/>
      <c r="H18" s="23" t="n"/>
      <c r="I18" s="22" t="n"/>
    </row>
    <row r="19" ht="30" customHeight="1">
      <c r="A19" s="43" t="n"/>
      <c r="B19" s="28" t="n"/>
      <c r="C19" s="15" t="n"/>
      <c r="D19" s="40">
        <f>IF($B19="","",IFERROR(VLOOKUP($B19,Triggers!$A$5:$C$40,2,FALSE),"— not a listed event"))</f>
        <v/>
      </c>
      <c r="E19" s="40">
        <f>IF($B19="","",IFERROR(VLOOKUP($B19,Triggers!$A$5:$C$40,3,FALSE),""))</f>
        <v/>
      </c>
      <c r="F19" s="17" t="n"/>
      <c r="G19" s="16" t="n"/>
      <c r="H19" s="16" t="n"/>
      <c r="I19" s="15" t="n"/>
    </row>
    <row r="20" ht="30" customHeight="1">
      <c r="A20" s="50" t="n"/>
      <c r="B20" s="46" t="n"/>
      <c r="C20" s="22" t="n"/>
      <c r="D20" s="47">
        <f>IF($B20="","",IFERROR(VLOOKUP($B20,Triggers!$A$5:$C$40,2,FALSE),"— not a listed event"))</f>
        <v/>
      </c>
      <c r="E20" s="47">
        <f>IF($B20="","",IFERROR(VLOOKUP($B20,Triggers!$A$5:$C$40,3,FALSE),""))</f>
        <v/>
      </c>
      <c r="F20" s="24" t="n"/>
      <c r="G20" s="23" t="n"/>
      <c r="H20" s="23" t="n"/>
      <c r="I20" s="22" t="n"/>
    </row>
    <row r="21" ht="30" customHeight="1">
      <c r="A21" s="43" t="n"/>
      <c r="B21" s="28" t="n"/>
      <c r="C21" s="15" t="n"/>
      <c r="D21" s="40">
        <f>IF($B21="","",IFERROR(VLOOKUP($B21,Triggers!$A$5:$C$40,2,FALSE),"— not a listed event"))</f>
        <v/>
      </c>
      <c r="E21" s="40">
        <f>IF($B21="","",IFERROR(VLOOKUP($B21,Triggers!$A$5:$C$40,3,FALSE),""))</f>
        <v/>
      </c>
      <c r="F21" s="17" t="n"/>
      <c r="G21" s="16" t="n"/>
      <c r="H21" s="16" t="n"/>
      <c r="I21" s="15" t="n"/>
    </row>
    <row r="22" ht="30" customHeight="1">
      <c r="A22" s="50" t="n"/>
      <c r="B22" s="46" t="n"/>
      <c r="C22" s="22" t="n"/>
      <c r="D22" s="47">
        <f>IF($B22="","",IFERROR(VLOOKUP($B22,Triggers!$A$5:$C$40,2,FALSE),"— not a listed event"))</f>
        <v/>
      </c>
      <c r="E22" s="47">
        <f>IF($B22="","",IFERROR(VLOOKUP($B22,Triggers!$A$5:$C$40,3,FALSE),""))</f>
        <v/>
      </c>
      <c r="F22" s="24" t="n"/>
      <c r="G22" s="23" t="n"/>
      <c r="H22" s="23" t="n"/>
      <c r="I22" s="22" t="n"/>
    </row>
    <row r="23" ht="30" customHeight="1">
      <c r="A23" s="43" t="n"/>
      <c r="B23" s="28" t="n"/>
      <c r="C23" s="15" t="n"/>
      <c r="D23" s="40">
        <f>IF($B23="","",IFERROR(VLOOKUP($B23,Triggers!$A$5:$C$40,2,FALSE),"— not a listed event"))</f>
        <v/>
      </c>
      <c r="E23" s="40">
        <f>IF($B23="","",IFERROR(VLOOKUP($B23,Triggers!$A$5:$C$40,3,FALSE),""))</f>
        <v/>
      </c>
      <c r="F23" s="17" t="n"/>
      <c r="G23" s="16" t="n"/>
      <c r="H23" s="16" t="n"/>
      <c r="I23" s="15" t="n"/>
    </row>
    <row r="24" ht="30" customHeight="1">
      <c r="A24" s="50" t="n"/>
      <c r="B24" s="46" t="n"/>
      <c r="C24" s="22" t="n"/>
      <c r="D24" s="47">
        <f>IF($B24="","",IFERROR(VLOOKUP($B24,Triggers!$A$5:$C$40,2,FALSE),"— not a listed event"))</f>
        <v/>
      </c>
      <c r="E24" s="47">
        <f>IF($B24="","",IFERROR(VLOOKUP($B24,Triggers!$A$5:$C$40,3,FALSE),""))</f>
        <v/>
      </c>
      <c r="F24" s="24" t="n"/>
      <c r="G24" s="23" t="n"/>
      <c r="H24" s="23" t="n"/>
      <c r="I24" s="22" t="n"/>
    </row>
    <row r="25" ht="30" customHeight="1">
      <c r="A25" s="43" t="n"/>
      <c r="B25" s="28" t="n"/>
      <c r="C25" s="15" t="n"/>
      <c r="D25" s="40">
        <f>IF($B25="","",IFERROR(VLOOKUP($B25,Triggers!$A$5:$C$40,2,FALSE),"— not a listed event"))</f>
        <v/>
      </c>
      <c r="E25" s="40">
        <f>IF($B25="","",IFERROR(VLOOKUP($B25,Triggers!$A$5:$C$40,3,FALSE),""))</f>
        <v/>
      </c>
      <c r="F25" s="17" t="n"/>
      <c r="G25" s="16" t="n"/>
      <c r="H25" s="16" t="n"/>
      <c r="I25" s="15" t="n"/>
    </row>
    <row r="26" ht="30" customHeight="1">
      <c r="A26" s="50" t="n"/>
      <c r="B26" s="46" t="n"/>
      <c r="C26" s="22" t="n"/>
      <c r="D26" s="47">
        <f>IF($B26="","",IFERROR(VLOOKUP($B26,Triggers!$A$5:$C$40,2,FALSE),"— not a listed event"))</f>
        <v/>
      </c>
      <c r="E26" s="47">
        <f>IF($B26="","",IFERROR(VLOOKUP($B26,Triggers!$A$5:$C$40,3,FALSE),""))</f>
        <v/>
      </c>
      <c r="F26" s="24" t="n"/>
      <c r="G26" s="23" t="n"/>
      <c r="H26" s="23" t="n"/>
      <c r="I26" s="22" t="n"/>
    </row>
    <row r="27" ht="30" customHeight="1">
      <c r="A27" s="43" t="n"/>
      <c r="B27" s="28" t="n"/>
      <c r="C27" s="15" t="n"/>
      <c r="D27" s="40">
        <f>IF($B27="","",IFERROR(VLOOKUP($B27,Triggers!$A$5:$C$40,2,FALSE),"— not a listed event"))</f>
        <v/>
      </c>
      <c r="E27" s="40">
        <f>IF($B27="","",IFERROR(VLOOKUP($B27,Triggers!$A$5:$C$40,3,FALSE),""))</f>
        <v/>
      </c>
      <c r="F27" s="17" t="n"/>
      <c r="G27" s="16" t="n"/>
      <c r="H27" s="16" t="n"/>
      <c r="I27" s="15" t="n"/>
    </row>
    <row r="28" ht="30" customHeight="1">
      <c r="A28" s="50" t="n"/>
      <c r="B28" s="46" t="n"/>
      <c r="C28" s="22" t="n"/>
      <c r="D28" s="47">
        <f>IF($B28="","",IFERROR(VLOOKUP($B28,Triggers!$A$5:$C$40,2,FALSE),"— not a listed event"))</f>
        <v/>
      </c>
      <c r="E28" s="47">
        <f>IF($B28="","",IFERROR(VLOOKUP($B28,Triggers!$A$5:$C$40,3,FALSE),""))</f>
        <v/>
      </c>
      <c r="F28" s="24" t="n"/>
      <c r="G28" s="23" t="n"/>
      <c r="H28" s="23" t="n"/>
      <c r="I28" s="22" t="n"/>
    </row>
    <row r="29" ht="30" customHeight="1">
      <c r="A29" s="43" t="n"/>
      <c r="B29" s="28" t="n"/>
      <c r="C29" s="15" t="n"/>
      <c r="D29" s="40">
        <f>IF($B29="","",IFERROR(VLOOKUP($B29,Triggers!$A$5:$C$40,2,FALSE),"— not a listed event"))</f>
        <v/>
      </c>
      <c r="E29" s="40">
        <f>IF($B29="","",IFERROR(VLOOKUP($B29,Triggers!$A$5:$C$40,3,FALSE),""))</f>
        <v/>
      </c>
      <c r="F29" s="17" t="n"/>
      <c r="G29" s="16" t="n"/>
      <c r="H29" s="16" t="n"/>
      <c r="I29" s="15" t="n"/>
    </row>
    <row r="30" ht="30" customHeight="1">
      <c r="A30" s="50" t="n"/>
      <c r="B30" s="46" t="n"/>
      <c r="C30" s="22" t="n"/>
      <c r="D30" s="47">
        <f>IF($B30="","",IFERROR(VLOOKUP($B30,Triggers!$A$5:$C$40,2,FALSE),"— not a listed event"))</f>
        <v/>
      </c>
      <c r="E30" s="47">
        <f>IF($B30="","",IFERROR(VLOOKUP($B30,Triggers!$A$5:$C$40,3,FALSE),""))</f>
        <v/>
      </c>
      <c r="F30" s="24" t="n"/>
      <c r="G30" s="23" t="n"/>
      <c r="H30" s="23" t="n"/>
      <c r="I30" s="22" t="n"/>
    </row>
    <row r="31" ht="30" customHeight="1">
      <c r="A31" s="43" t="n"/>
      <c r="B31" s="28" t="n"/>
      <c r="C31" s="15" t="n"/>
      <c r="D31" s="40">
        <f>IF($B31="","",IFERROR(VLOOKUP($B31,Triggers!$A$5:$C$40,2,FALSE),"— not a listed event"))</f>
        <v/>
      </c>
      <c r="E31" s="40">
        <f>IF($B31="","",IFERROR(VLOOKUP($B31,Triggers!$A$5:$C$40,3,FALSE),""))</f>
        <v/>
      </c>
      <c r="F31" s="17" t="n"/>
      <c r="G31" s="16" t="n"/>
      <c r="H31" s="16" t="n"/>
      <c r="I31" s="15" t="n"/>
    </row>
    <row r="32" ht="30" customHeight="1">
      <c r="A32" s="50" t="n"/>
      <c r="B32" s="46" t="n"/>
      <c r="C32" s="22" t="n"/>
      <c r="D32" s="47">
        <f>IF($B32="","",IFERROR(VLOOKUP($B32,Triggers!$A$5:$C$40,2,FALSE),"— not a listed event"))</f>
        <v/>
      </c>
      <c r="E32" s="47">
        <f>IF($B32="","",IFERROR(VLOOKUP($B32,Triggers!$A$5:$C$40,3,FALSE),""))</f>
        <v/>
      </c>
      <c r="F32" s="24" t="n"/>
      <c r="G32" s="23" t="n"/>
      <c r="H32" s="23" t="n"/>
      <c r="I32" s="22" t="n"/>
    </row>
    <row r="33" ht="30" customHeight="1">
      <c r="A33" s="43" t="n"/>
      <c r="B33" s="28" t="n"/>
      <c r="C33" s="15" t="n"/>
      <c r="D33" s="40">
        <f>IF($B33="","",IFERROR(VLOOKUP($B33,Triggers!$A$5:$C$40,2,FALSE),"— not a listed event"))</f>
        <v/>
      </c>
      <c r="E33" s="40">
        <f>IF($B33="","",IFERROR(VLOOKUP($B33,Triggers!$A$5:$C$40,3,FALSE),""))</f>
        <v/>
      </c>
      <c r="F33" s="17" t="n"/>
      <c r="G33" s="16" t="n"/>
      <c r="H33" s="16" t="n"/>
      <c r="I33" s="15" t="n"/>
    </row>
    <row r="34" ht="30" customHeight="1">
      <c r="A34" s="50" t="n"/>
      <c r="B34" s="46" t="n"/>
      <c r="C34" s="22" t="n"/>
      <c r="D34" s="47">
        <f>IF($B34="","",IFERROR(VLOOKUP($B34,Triggers!$A$5:$C$40,2,FALSE),"— not a listed event"))</f>
        <v/>
      </c>
      <c r="E34" s="47">
        <f>IF($B34="","",IFERROR(VLOOKUP($B34,Triggers!$A$5:$C$40,3,FALSE),""))</f>
        <v/>
      </c>
      <c r="F34" s="24" t="n"/>
      <c r="G34" s="23" t="n"/>
      <c r="H34" s="23" t="n"/>
      <c r="I34" s="22" t="n"/>
    </row>
    <row r="35" ht="30" customHeight="1">
      <c r="A35" s="43" t="n"/>
      <c r="B35" s="28" t="n"/>
      <c r="C35" s="15" t="n"/>
      <c r="D35" s="40">
        <f>IF($B35="","",IFERROR(VLOOKUP($B35,Triggers!$A$5:$C$40,2,FALSE),"— not a listed event"))</f>
        <v/>
      </c>
      <c r="E35" s="40">
        <f>IF($B35="","",IFERROR(VLOOKUP($B35,Triggers!$A$5:$C$40,3,FALSE),""))</f>
        <v/>
      </c>
      <c r="F35" s="17" t="n"/>
      <c r="G35" s="16" t="n"/>
      <c r="H35" s="16" t="n"/>
      <c r="I35" s="15" t="n"/>
    </row>
    <row r="36" ht="30" customHeight="1">
      <c r="A36" s="50" t="n"/>
      <c r="B36" s="46" t="n"/>
      <c r="C36" s="22" t="n"/>
      <c r="D36" s="47">
        <f>IF($B36="","",IFERROR(VLOOKUP($B36,Triggers!$A$5:$C$40,2,FALSE),"— not a listed event"))</f>
        <v/>
      </c>
      <c r="E36" s="47">
        <f>IF($B36="","",IFERROR(VLOOKUP($B36,Triggers!$A$5:$C$40,3,FALSE),""))</f>
        <v/>
      </c>
      <c r="F36" s="24" t="n"/>
      <c r="G36" s="23" t="n"/>
      <c r="H36" s="23" t="n"/>
      <c r="I36" s="22" t="n"/>
    </row>
    <row r="37" ht="30" customHeight="1">
      <c r="A37" s="43" t="n"/>
      <c r="B37" s="28" t="n"/>
      <c r="C37" s="15" t="n"/>
      <c r="D37" s="40">
        <f>IF($B37="","",IFERROR(VLOOKUP($B37,Triggers!$A$5:$C$40,2,FALSE),"— not a listed event"))</f>
        <v/>
      </c>
      <c r="E37" s="40">
        <f>IF($B37="","",IFERROR(VLOOKUP($B37,Triggers!$A$5:$C$40,3,FALSE),""))</f>
        <v/>
      </c>
      <c r="F37" s="17" t="n"/>
      <c r="G37" s="16" t="n"/>
      <c r="H37" s="16" t="n"/>
      <c r="I37" s="15" t="n"/>
    </row>
    <row r="38" ht="30" customHeight="1">
      <c r="A38" s="50" t="n"/>
      <c r="B38" s="46" t="n"/>
      <c r="C38" s="22" t="n"/>
      <c r="D38" s="47">
        <f>IF($B38="","",IFERROR(VLOOKUP($B38,Triggers!$A$5:$C$40,2,FALSE),"— not a listed event"))</f>
        <v/>
      </c>
      <c r="E38" s="47">
        <f>IF($B38="","",IFERROR(VLOOKUP($B38,Triggers!$A$5:$C$40,3,FALSE),""))</f>
        <v/>
      </c>
      <c r="F38" s="24" t="n"/>
      <c r="G38" s="23" t="n"/>
      <c r="H38" s="23" t="n"/>
      <c r="I38" s="22" t="n"/>
    </row>
    <row r="39" ht="30" customHeight="1">
      <c r="A39" s="43" t="n"/>
      <c r="B39" s="28" t="n"/>
      <c r="C39" s="15" t="n"/>
      <c r="D39" s="40">
        <f>IF($B39="","",IFERROR(VLOOKUP($B39,Triggers!$A$5:$C$40,2,FALSE),"— not a listed event"))</f>
        <v/>
      </c>
      <c r="E39" s="40">
        <f>IF($B39="","",IFERROR(VLOOKUP($B39,Triggers!$A$5:$C$40,3,FALSE),""))</f>
        <v/>
      </c>
      <c r="F39" s="17" t="n"/>
      <c r="G39" s="16" t="n"/>
      <c r="H39" s="16" t="n"/>
      <c r="I39" s="15" t="n"/>
    </row>
    <row r="40" ht="30" customHeight="1">
      <c r="A40" s="50" t="n"/>
      <c r="B40" s="46" t="n"/>
      <c r="C40" s="22" t="n"/>
      <c r="D40" s="47">
        <f>IF($B40="","",IFERROR(VLOOKUP($B40,Triggers!$A$5:$C$40,2,FALSE),"— not a listed event"))</f>
        <v/>
      </c>
      <c r="E40" s="47">
        <f>IF($B40="","",IFERROR(VLOOKUP($B40,Triggers!$A$5:$C$40,3,FALSE),""))</f>
        <v/>
      </c>
      <c r="F40" s="24" t="n"/>
      <c r="G40" s="23" t="n"/>
      <c r="H40" s="23" t="n"/>
      <c r="I40" s="22" t="n"/>
    </row>
    <row r="41" ht="30" customHeight="1">
      <c r="A41" s="43" t="n"/>
      <c r="B41" s="28" t="n"/>
      <c r="C41" s="15" t="n"/>
      <c r="D41" s="40">
        <f>IF($B41="","",IFERROR(VLOOKUP($B41,Triggers!$A$5:$C$40,2,FALSE),"— not a listed event"))</f>
        <v/>
      </c>
      <c r="E41" s="40">
        <f>IF($B41="","",IFERROR(VLOOKUP($B41,Triggers!$A$5:$C$40,3,FALSE),""))</f>
        <v/>
      </c>
      <c r="F41" s="17" t="n"/>
      <c r="G41" s="16" t="n"/>
      <c r="H41" s="16" t="n"/>
      <c r="I41" s="15" t="n"/>
    </row>
    <row r="42" ht="30" customHeight="1">
      <c r="A42" s="50" t="n"/>
      <c r="B42" s="46" t="n"/>
      <c r="C42" s="22" t="n"/>
      <c r="D42" s="47">
        <f>IF($B42="","",IFERROR(VLOOKUP($B42,Triggers!$A$5:$C$40,2,FALSE),"— not a listed event"))</f>
        <v/>
      </c>
      <c r="E42" s="47">
        <f>IF($B42="","",IFERROR(VLOOKUP($B42,Triggers!$A$5:$C$40,3,FALSE),""))</f>
        <v/>
      </c>
      <c r="F42" s="24" t="n"/>
      <c r="G42" s="23" t="n"/>
      <c r="H42" s="23" t="n"/>
      <c r="I42" s="22" t="n"/>
    </row>
    <row r="43" ht="30" customHeight="1">
      <c r="A43" s="43" t="n"/>
      <c r="B43" s="28" t="n"/>
      <c r="C43" s="15" t="n"/>
      <c r="D43" s="40">
        <f>IF($B43="","",IFERROR(VLOOKUP($B43,Triggers!$A$5:$C$40,2,FALSE),"— not a listed event"))</f>
        <v/>
      </c>
      <c r="E43" s="40">
        <f>IF($B43="","",IFERROR(VLOOKUP($B43,Triggers!$A$5:$C$40,3,FALSE),""))</f>
        <v/>
      </c>
      <c r="F43" s="17" t="n"/>
      <c r="G43" s="16" t="n"/>
      <c r="H43" s="16" t="n"/>
      <c r="I43" s="15" t="n"/>
    </row>
    <row r="44" ht="30" customHeight="1">
      <c r="A44" s="50" t="n"/>
      <c r="B44" s="46" t="n"/>
      <c r="C44" s="22" t="n"/>
      <c r="D44" s="47">
        <f>IF($B44="","",IFERROR(VLOOKUP($B44,Triggers!$A$5:$C$40,2,FALSE),"— not a listed event"))</f>
        <v/>
      </c>
      <c r="E44" s="47">
        <f>IF($B44="","",IFERROR(VLOOKUP($B44,Triggers!$A$5:$C$40,3,FALSE),""))</f>
        <v/>
      </c>
      <c r="F44" s="24" t="n"/>
      <c r="G44" s="23" t="n"/>
      <c r="H44" s="23" t="n"/>
      <c r="I44" s="22" t="n"/>
    </row>
    <row r="45" ht="30" customHeight="1">
      <c r="A45" s="43" t="n"/>
      <c r="B45" s="28" t="n"/>
      <c r="C45" s="15" t="n"/>
      <c r="D45" s="40">
        <f>IF($B45="","",IFERROR(VLOOKUP($B45,Triggers!$A$5:$C$40,2,FALSE),"— not a listed event"))</f>
        <v/>
      </c>
      <c r="E45" s="40">
        <f>IF($B45="","",IFERROR(VLOOKUP($B45,Triggers!$A$5:$C$40,3,FALSE),""))</f>
        <v/>
      </c>
      <c r="F45" s="17" t="n"/>
      <c r="G45" s="16" t="n"/>
      <c r="H45" s="16" t="n"/>
      <c r="I45" s="15" t="n"/>
    </row>
    <row r="46" ht="30" customHeight="1">
      <c r="A46" s="50" t="n"/>
      <c r="B46" s="46" t="n"/>
      <c r="C46" s="22" t="n"/>
      <c r="D46" s="47">
        <f>IF($B46="","",IFERROR(VLOOKUP($B46,Triggers!$A$5:$C$40,2,FALSE),"— not a listed event"))</f>
        <v/>
      </c>
      <c r="E46" s="47">
        <f>IF($B46="","",IFERROR(VLOOKUP($B46,Triggers!$A$5:$C$40,3,FALSE),""))</f>
        <v/>
      </c>
      <c r="F46" s="24" t="n"/>
      <c r="G46" s="23" t="n"/>
      <c r="H46" s="23" t="n"/>
      <c r="I46" s="22" t="n"/>
    </row>
    <row r="47" ht="30" customHeight="1">
      <c r="A47" s="43" t="n"/>
      <c r="B47" s="28" t="n"/>
      <c r="C47" s="15" t="n"/>
      <c r="D47" s="40">
        <f>IF($B47="","",IFERROR(VLOOKUP($B47,Triggers!$A$5:$C$40,2,FALSE),"— not a listed event"))</f>
        <v/>
      </c>
      <c r="E47" s="40">
        <f>IF($B47="","",IFERROR(VLOOKUP($B47,Triggers!$A$5:$C$40,3,FALSE),""))</f>
        <v/>
      </c>
      <c r="F47" s="17" t="n"/>
      <c r="G47" s="16" t="n"/>
      <c r="H47" s="16" t="n"/>
      <c r="I47" s="15" t="n"/>
    </row>
    <row r="48" ht="30" customHeight="1">
      <c r="A48" s="50" t="n"/>
      <c r="B48" s="46" t="n"/>
      <c r="C48" s="22" t="n"/>
      <c r="D48" s="47">
        <f>IF($B48="","",IFERROR(VLOOKUP($B48,Triggers!$A$5:$C$40,2,FALSE),"— not a listed event"))</f>
        <v/>
      </c>
      <c r="E48" s="47">
        <f>IF($B48="","",IFERROR(VLOOKUP($B48,Triggers!$A$5:$C$40,3,FALSE),""))</f>
        <v/>
      </c>
      <c r="F48" s="24" t="n"/>
      <c r="G48" s="23" t="n"/>
      <c r="H48" s="23" t="n"/>
      <c r="I48" s="22" t="n"/>
    </row>
    <row r="49" ht="30" customHeight="1">
      <c r="A49" s="43" t="n"/>
      <c r="B49" s="28" t="n"/>
      <c r="C49" s="15" t="n"/>
      <c r="D49" s="40">
        <f>IF($B49="","",IFERROR(VLOOKUP($B49,Triggers!$A$5:$C$40,2,FALSE),"— not a listed event"))</f>
        <v/>
      </c>
      <c r="E49" s="40">
        <f>IF($B49="","",IFERROR(VLOOKUP($B49,Triggers!$A$5:$C$40,3,FALSE),""))</f>
        <v/>
      </c>
      <c r="F49" s="17" t="n"/>
      <c r="G49" s="16" t="n"/>
      <c r="H49" s="16" t="n"/>
      <c r="I49" s="15" t="n"/>
    </row>
    <row r="50" ht="30" customHeight="1">
      <c r="A50" s="50" t="n"/>
      <c r="B50" s="46" t="n"/>
      <c r="C50" s="22" t="n"/>
      <c r="D50" s="47">
        <f>IF($B50="","",IFERROR(VLOOKUP($B50,Triggers!$A$5:$C$40,2,FALSE),"— not a listed event"))</f>
        <v/>
      </c>
      <c r="E50" s="47">
        <f>IF($B50="","",IFERROR(VLOOKUP($B50,Triggers!$A$5:$C$40,3,FALSE),""))</f>
        <v/>
      </c>
      <c r="F50" s="24" t="n"/>
      <c r="G50" s="23" t="n"/>
      <c r="H50" s="23" t="n"/>
      <c r="I50" s="22" t="n"/>
    </row>
    <row r="51" ht="30" customHeight="1">
      <c r="A51" s="43" t="n"/>
      <c r="B51" s="28" t="n"/>
      <c r="C51" s="15" t="n"/>
      <c r="D51" s="40">
        <f>IF($B51="","",IFERROR(VLOOKUP($B51,Triggers!$A$5:$C$40,2,FALSE),"— not a listed event"))</f>
        <v/>
      </c>
      <c r="E51" s="40">
        <f>IF($B51="","",IFERROR(VLOOKUP($B51,Triggers!$A$5:$C$40,3,FALSE),""))</f>
        <v/>
      </c>
      <c r="F51" s="17" t="n"/>
      <c r="G51" s="16" t="n"/>
      <c r="H51" s="16" t="n"/>
      <c r="I51" s="15" t="n"/>
    </row>
    <row r="52" ht="30" customHeight="1">
      <c r="A52" s="50" t="n"/>
      <c r="B52" s="46" t="n"/>
      <c r="C52" s="22" t="n"/>
      <c r="D52" s="47">
        <f>IF($B52="","",IFERROR(VLOOKUP($B52,Triggers!$A$5:$C$40,2,FALSE),"— not a listed event"))</f>
        <v/>
      </c>
      <c r="E52" s="47">
        <f>IF($B52="","",IFERROR(VLOOKUP($B52,Triggers!$A$5:$C$40,3,FALSE),""))</f>
        <v/>
      </c>
      <c r="F52" s="24" t="n"/>
      <c r="G52" s="23" t="n"/>
      <c r="H52" s="23" t="n"/>
      <c r="I52" s="22" t="n"/>
    </row>
    <row r="53" ht="30" customHeight="1">
      <c r="A53" s="43" t="n"/>
      <c r="B53" s="28" t="n"/>
      <c r="C53" s="15" t="n"/>
      <c r="D53" s="40">
        <f>IF($B53="","",IFERROR(VLOOKUP($B53,Triggers!$A$5:$C$40,2,FALSE),"— not a listed event"))</f>
        <v/>
      </c>
      <c r="E53" s="40">
        <f>IF($B53="","",IFERROR(VLOOKUP($B53,Triggers!$A$5:$C$40,3,FALSE),""))</f>
        <v/>
      </c>
      <c r="F53" s="17" t="n"/>
      <c r="G53" s="16" t="n"/>
      <c r="H53" s="16" t="n"/>
      <c r="I53" s="15" t="n"/>
    </row>
    <row r="54" ht="30" customHeight="1">
      <c r="A54" s="50" t="n"/>
      <c r="B54" s="46" t="n"/>
      <c r="C54" s="22" t="n"/>
      <c r="D54" s="47">
        <f>IF($B54="","",IFERROR(VLOOKUP($B54,Triggers!$A$5:$C$40,2,FALSE),"— not a listed event"))</f>
        <v/>
      </c>
      <c r="E54" s="47">
        <f>IF($B54="","",IFERROR(VLOOKUP($B54,Triggers!$A$5:$C$40,3,FALSE),""))</f>
        <v/>
      </c>
      <c r="F54" s="24" t="n"/>
      <c r="G54" s="23" t="n"/>
      <c r="H54" s="23" t="n"/>
      <c r="I54" s="22" t="n"/>
    </row>
    <row r="55" ht="30" customHeight="1">
      <c r="A55" s="43" t="n"/>
      <c r="B55" s="28" t="n"/>
      <c r="C55" s="15" t="n"/>
      <c r="D55" s="40">
        <f>IF($B55="","",IFERROR(VLOOKUP($B55,Triggers!$A$5:$C$40,2,FALSE),"— not a listed event"))</f>
        <v/>
      </c>
      <c r="E55" s="40">
        <f>IF($B55="","",IFERROR(VLOOKUP($B55,Triggers!$A$5:$C$40,3,FALSE),""))</f>
        <v/>
      </c>
      <c r="F55" s="17" t="n"/>
      <c r="G55" s="16" t="n"/>
      <c r="H55" s="16" t="n"/>
      <c r="I55" s="15" t="n"/>
    </row>
    <row r="56" ht="30" customHeight="1">
      <c r="A56" s="50" t="n"/>
      <c r="B56" s="46" t="n"/>
      <c r="C56" s="22" t="n"/>
      <c r="D56" s="47">
        <f>IF($B56="","",IFERROR(VLOOKUP($B56,Triggers!$A$5:$C$40,2,FALSE),"— not a listed event"))</f>
        <v/>
      </c>
      <c r="E56" s="47">
        <f>IF($B56="","",IFERROR(VLOOKUP($B56,Triggers!$A$5:$C$40,3,FALSE),""))</f>
        <v/>
      </c>
      <c r="F56" s="24" t="n"/>
      <c r="G56" s="23" t="n"/>
      <c r="H56" s="23" t="n"/>
      <c r="I56" s="22" t="n"/>
    </row>
    <row r="57" ht="30" customHeight="1">
      <c r="A57" s="43" t="n"/>
      <c r="B57" s="28" t="n"/>
      <c r="C57" s="15" t="n"/>
      <c r="D57" s="40">
        <f>IF($B57="","",IFERROR(VLOOKUP($B57,Triggers!$A$5:$C$40,2,FALSE),"— not a listed event"))</f>
        <v/>
      </c>
      <c r="E57" s="40">
        <f>IF($B57="","",IFERROR(VLOOKUP($B57,Triggers!$A$5:$C$40,3,FALSE),""))</f>
        <v/>
      </c>
      <c r="F57" s="17" t="n"/>
      <c r="G57" s="16" t="n"/>
      <c r="H57" s="16" t="n"/>
      <c r="I57" s="15" t="n"/>
    </row>
    <row r="58" ht="30" customHeight="1">
      <c r="A58" s="50" t="n"/>
      <c r="B58" s="46" t="n"/>
      <c r="C58" s="22" t="n"/>
      <c r="D58" s="47">
        <f>IF($B58="","",IFERROR(VLOOKUP($B58,Triggers!$A$5:$C$40,2,FALSE),"— not a listed event"))</f>
        <v/>
      </c>
      <c r="E58" s="47">
        <f>IF($B58="","",IFERROR(VLOOKUP($B58,Triggers!$A$5:$C$40,3,FALSE),""))</f>
        <v/>
      </c>
      <c r="F58" s="24" t="n"/>
      <c r="G58" s="23" t="n"/>
      <c r="H58" s="23" t="n"/>
      <c r="I58" s="22" t="n"/>
    </row>
    <row r="59" ht="30" customHeight="1">
      <c r="A59" s="43" t="n"/>
      <c r="B59" s="28" t="n"/>
      <c r="C59" s="15" t="n"/>
      <c r="D59" s="40">
        <f>IF($B59="","",IFERROR(VLOOKUP($B59,Triggers!$A$5:$C$40,2,FALSE),"— not a listed event"))</f>
        <v/>
      </c>
      <c r="E59" s="40">
        <f>IF($B59="","",IFERROR(VLOOKUP($B59,Triggers!$A$5:$C$40,3,FALSE),""))</f>
        <v/>
      </c>
      <c r="F59" s="17" t="n"/>
      <c r="G59" s="16" t="n"/>
      <c r="H59" s="16" t="n"/>
      <c r="I59" s="15" t="n"/>
    </row>
    <row r="60" ht="30" customHeight="1">
      <c r="A60" s="50" t="n"/>
      <c r="B60" s="46" t="n"/>
      <c r="C60" s="22" t="n"/>
      <c r="D60" s="47">
        <f>IF($B60="","",IFERROR(VLOOKUP($B60,Triggers!$A$5:$C$40,2,FALSE),"— not a listed event"))</f>
        <v/>
      </c>
      <c r="E60" s="47">
        <f>IF($B60="","",IFERROR(VLOOKUP($B60,Triggers!$A$5:$C$40,3,FALSE),""))</f>
        <v/>
      </c>
      <c r="F60" s="24" t="n"/>
      <c r="G60" s="23" t="n"/>
      <c r="H60" s="23" t="n"/>
      <c r="I60" s="22" t="n"/>
    </row>
    <row r="61" ht="30" customHeight="1">
      <c r="A61" s="43" t="n"/>
      <c r="B61" s="28" t="n"/>
      <c r="C61" s="15" t="n"/>
      <c r="D61" s="40">
        <f>IF($B61="","",IFERROR(VLOOKUP($B61,Triggers!$A$5:$C$40,2,FALSE),"— not a listed event"))</f>
        <v/>
      </c>
      <c r="E61" s="40">
        <f>IF($B61="","",IFERROR(VLOOKUP($B61,Triggers!$A$5:$C$40,3,FALSE),""))</f>
        <v/>
      </c>
      <c r="F61" s="17" t="n"/>
      <c r="G61" s="16" t="n"/>
      <c r="H61" s="16" t="n"/>
      <c r="I61" s="15" t="n"/>
    </row>
    <row r="62" ht="30" customHeight="1">
      <c r="A62" s="50" t="n"/>
      <c r="B62" s="46" t="n"/>
      <c r="C62" s="22" t="n"/>
      <c r="D62" s="47">
        <f>IF($B62="","",IFERROR(VLOOKUP($B62,Triggers!$A$5:$C$40,2,FALSE),"— not a listed event"))</f>
        <v/>
      </c>
      <c r="E62" s="47">
        <f>IF($B62="","",IFERROR(VLOOKUP($B62,Triggers!$A$5:$C$40,3,FALSE),""))</f>
        <v/>
      </c>
      <c r="F62" s="24" t="n"/>
      <c r="G62" s="23" t="n"/>
      <c r="H62" s="23" t="n"/>
      <c r="I62" s="22" t="n"/>
    </row>
    <row r="63" ht="30" customHeight="1">
      <c r="A63" s="43" t="n"/>
      <c r="B63" s="28" t="n"/>
      <c r="C63" s="15" t="n"/>
      <c r="D63" s="40">
        <f>IF($B63="","",IFERROR(VLOOKUP($B63,Triggers!$A$5:$C$40,2,FALSE),"— not a listed event"))</f>
        <v/>
      </c>
      <c r="E63" s="40">
        <f>IF($B63="","",IFERROR(VLOOKUP($B63,Triggers!$A$5:$C$40,3,FALSE),""))</f>
        <v/>
      </c>
      <c r="F63" s="17" t="n"/>
      <c r="G63" s="16" t="n"/>
      <c r="H63" s="16" t="n"/>
      <c r="I63" s="15" t="n"/>
    </row>
    <row r="64" ht="30" customHeight="1">
      <c r="A64" s="50" t="n"/>
      <c r="B64" s="46" t="n"/>
      <c r="C64" s="22" t="n"/>
      <c r="D64" s="47">
        <f>IF($B64="","",IFERROR(VLOOKUP($B64,Triggers!$A$5:$C$40,2,FALSE),"— not a listed event"))</f>
        <v/>
      </c>
      <c r="E64" s="47">
        <f>IF($B64="","",IFERROR(VLOOKUP($B64,Triggers!$A$5:$C$40,3,FALSE),""))</f>
        <v/>
      </c>
      <c r="F64" s="24" t="n"/>
      <c r="G64" s="23" t="n"/>
      <c r="H64" s="23" t="n"/>
      <c r="I64" s="22" t="n"/>
    </row>
    <row r="65" ht="30" customHeight="1">
      <c r="A65" s="43" t="n"/>
      <c r="B65" s="28" t="n"/>
      <c r="C65" s="15" t="n"/>
      <c r="D65" s="40">
        <f>IF($B65="","",IFERROR(VLOOKUP($B65,Triggers!$A$5:$C$40,2,FALSE),"— not a listed event"))</f>
        <v/>
      </c>
      <c r="E65" s="40">
        <f>IF($B65="","",IFERROR(VLOOKUP($B65,Triggers!$A$5:$C$40,3,FALSE),""))</f>
        <v/>
      </c>
      <c r="F65" s="17" t="n"/>
      <c r="G65" s="16" t="n"/>
      <c r="H65" s="16" t="n"/>
      <c r="I65" s="15" t="n"/>
    </row>
    <row r="66" ht="30" customHeight="1">
      <c r="A66" s="50" t="n"/>
      <c r="B66" s="46" t="n"/>
      <c r="C66" s="22" t="n"/>
      <c r="D66" s="47">
        <f>IF($B66="","",IFERROR(VLOOKUP($B66,Triggers!$A$5:$C$40,2,FALSE),"— not a listed event"))</f>
        <v/>
      </c>
      <c r="E66" s="47">
        <f>IF($B66="","",IFERROR(VLOOKUP($B66,Triggers!$A$5:$C$40,3,FALSE),""))</f>
        <v/>
      </c>
      <c r="F66" s="24" t="n"/>
      <c r="G66" s="23" t="n"/>
      <c r="H66" s="23" t="n"/>
      <c r="I66" s="22" t="n"/>
    </row>
    <row r="67" ht="30" customHeight="1">
      <c r="A67" s="43" t="n"/>
      <c r="B67" s="28" t="n"/>
      <c r="C67" s="15" t="n"/>
      <c r="D67" s="40">
        <f>IF($B67="","",IFERROR(VLOOKUP($B67,Triggers!$A$5:$C$40,2,FALSE),"— not a listed event"))</f>
        <v/>
      </c>
      <c r="E67" s="40">
        <f>IF($B67="","",IFERROR(VLOOKUP($B67,Triggers!$A$5:$C$40,3,FALSE),""))</f>
        <v/>
      </c>
      <c r="F67" s="17" t="n"/>
      <c r="G67" s="16" t="n"/>
      <c r="H67" s="16" t="n"/>
      <c r="I67" s="15" t="n"/>
    </row>
    <row r="68" ht="30" customHeight="1">
      <c r="A68" s="50" t="n"/>
      <c r="B68" s="46" t="n"/>
      <c r="C68" s="22" t="n"/>
      <c r="D68" s="47">
        <f>IF($B68="","",IFERROR(VLOOKUP($B68,Triggers!$A$5:$C$40,2,FALSE),"— not a listed event"))</f>
        <v/>
      </c>
      <c r="E68" s="47">
        <f>IF($B68="","",IFERROR(VLOOKUP($B68,Triggers!$A$5:$C$40,3,FALSE),""))</f>
        <v/>
      </c>
      <c r="F68" s="24" t="n"/>
      <c r="G68" s="23" t="n"/>
      <c r="H68" s="23" t="n"/>
      <c r="I68" s="22" t="n"/>
    </row>
    <row r="69" ht="30" customHeight="1">
      <c r="A69" s="43" t="n"/>
      <c r="B69" s="28" t="n"/>
      <c r="C69" s="15" t="n"/>
      <c r="D69" s="40">
        <f>IF($B69="","",IFERROR(VLOOKUP($B69,Triggers!$A$5:$C$40,2,FALSE),"— not a listed event"))</f>
        <v/>
      </c>
      <c r="E69" s="40">
        <f>IF($B69="","",IFERROR(VLOOKUP($B69,Triggers!$A$5:$C$40,3,FALSE),""))</f>
        <v/>
      </c>
      <c r="F69" s="17" t="n"/>
      <c r="G69" s="16" t="n"/>
      <c r="H69" s="16" t="n"/>
      <c r="I69" s="15" t="n"/>
    </row>
    <row r="70" ht="30" customHeight="1">
      <c r="A70" s="50" t="n"/>
      <c r="B70" s="46" t="n"/>
      <c r="C70" s="22" t="n"/>
      <c r="D70" s="47">
        <f>IF($B70="","",IFERROR(VLOOKUP($B70,Triggers!$A$5:$C$40,2,FALSE),"— not a listed event"))</f>
        <v/>
      </c>
      <c r="E70" s="47">
        <f>IF($B70="","",IFERROR(VLOOKUP($B70,Triggers!$A$5:$C$40,3,FALSE),""))</f>
        <v/>
      </c>
      <c r="F70" s="24" t="n"/>
      <c r="G70" s="23" t="n"/>
      <c r="H70" s="23" t="n"/>
      <c r="I70" s="22" t="n"/>
    </row>
    <row r="71" ht="30" customHeight="1">
      <c r="A71" s="43" t="n"/>
      <c r="B71" s="28" t="n"/>
      <c r="C71" s="15" t="n"/>
      <c r="D71" s="40">
        <f>IF($B71="","",IFERROR(VLOOKUP($B71,Triggers!$A$5:$C$40,2,FALSE),"— not a listed event"))</f>
        <v/>
      </c>
      <c r="E71" s="40">
        <f>IF($B71="","",IFERROR(VLOOKUP($B71,Triggers!$A$5:$C$40,3,FALSE),""))</f>
        <v/>
      </c>
      <c r="F71" s="17" t="n"/>
      <c r="G71" s="16" t="n"/>
      <c r="H71" s="16" t="n"/>
      <c r="I71" s="15" t="n"/>
    </row>
    <row r="72" ht="30" customHeight="1">
      <c r="A72" s="50" t="n"/>
      <c r="B72" s="46" t="n"/>
      <c r="C72" s="22" t="n"/>
      <c r="D72" s="47">
        <f>IF($B72="","",IFERROR(VLOOKUP($B72,Triggers!$A$5:$C$40,2,FALSE),"— not a listed event"))</f>
        <v/>
      </c>
      <c r="E72" s="47">
        <f>IF($B72="","",IFERROR(VLOOKUP($B72,Triggers!$A$5:$C$40,3,FALSE),""))</f>
        <v/>
      </c>
      <c r="F72" s="24" t="n"/>
      <c r="G72" s="23" t="n"/>
      <c r="H72" s="23" t="n"/>
      <c r="I72" s="22" t="n"/>
    </row>
    <row r="73" ht="30" customHeight="1">
      <c r="A73" s="43" t="n"/>
      <c r="B73" s="28" t="n"/>
      <c r="C73" s="15" t="n"/>
      <c r="D73" s="40">
        <f>IF($B73="","",IFERROR(VLOOKUP($B73,Triggers!$A$5:$C$40,2,FALSE),"— not a listed event"))</f>
        <v/>
      </c>
      <c r="E73" s="40">
        <f>IF($B73="","",IFERROR(VLOOKUP($B73,Triggers!$A$5:$C$40,3,FALSE),""))</f>
        <v/>
      </c>
      <c r="F73" s="17" t="n"/>
      <c r="G73" s="16" t="n"/>
      <c r="H73" s="16" t="n"/>
      <c r="I73" s="15" t="n"/>
    </row>
    <row r="74" ht="30" customHeight="1">
      <c r="A74" s="50" t="n"/>
      <c r="B74" s="46" t="n"/>
      <c r="C74" s="22" t="n"/>
      <c r="D74" s="47">
        <f>IF($B74="","",IFERROR(VLOOKUP($B74,Triggers!$A$5:$C$40,2,FALSE),"— not a listed event"))</f>
        <v/>
      </c>
      <c r="E74" s="47">
        <f>IF($B74="","",IFERROR(VLOOKUP($B74,Triggers!$A$5:$C$40,3,FALSE),""))</f>
        <v/>
      </c>
      <c r="F74" s="24" t="n"/>
      <c r="G74" s="23" t="n"/>
      <c r="H74" s="23" t="n"/>
      <c r="I74" s="22" t="n"/>
    </row>
    <row r="75" ht="30" customHeight="1">
      <c r="A75" s="43" t="n"/>
      <c r="B75" s="28" t="n"/>
      <c r="C75" s="15" t="n"/>
      <c r="D75" s="40">
        <f>IF($B75="","",IFERROR(VLOOKUP($B75,Triggers!$A$5:$C$40,2,FALSE),"— not a listed event"))</f>
        <v/>
      </c>
      <c r="E75" s="40">
        <f>IF($B75="","",IFERROR(VLOOKUP($B75,Triggers!$A$5:$C$40,3,FALSE),""))</f>
        <v/>
      </c>
      <c r="F75" s="17" t="n"/>
      <c r="G75" s="16" t="n"/>
      <c r="H75" s="16" t="n"/>
      <c r="I75" s="15" t="n"/>
    </row>
    <row r="76" ht="30" customHeight="1">
      <c r="A76" s="50" t="n"/>
      <c r="B76" s="46" t="n"/>
      <c r="C76" s="22" t="n"/>
      <c r="D76" s="47">
        <f>IF($B76="","",IFERROR(VLOOKUP($B76,Triggers!$A$5:$C$40,2,FALSE),"— not a listed event"))</f>
        <v/>
      </c>
      <c r="E76" s="47">
        <f>IF($B76="","",IFERROR(VLOOKUP($B76,Triggers!$A$5:$C$40,3,FALSE),""))</f>
        <v/>
      </c>
      <c r="F76" s="24" t="n"/>
      <c r="G76" s="23" t="n"/>
      <c r="H76" s="23" t="n"/>
      <c r="I76" s="22" t="n"/>
    </row>
    <row r="77" ht="30" customHeight="1">
      <c r="A77" s="43" t="n"/>
      <c r="B77" s="28" t="n"/>
      <c r="C77" s="15" t="n"/>
      <c r="D77" s="40">
        <f>IF($B77="","",IFERROR(VLOOKUP($B77,Triggers!$A$5:$C$40,2,FALSE),"— not a listed event"))</f>
        <v/>
      </c>
      <c r="E77" s="40">
        <f>IF($B77="","",IFERROR(VLOOKUP($B77,Triggers!$A$5:$C$40,3,FALSE),""))</f>
        <v/>
      </c>
      <c r="F77" s="17" t="n"/>
      <c r="G77" s="16" t="n"/>
      <c r="H77" s="16" t="n"/>
      <c r="I77" s="15" t="n"/>
    </row>
    <row r="78" ht="30" customHeight="1">
      <c r="A78" s="50" t="n"/>
      <c r="B78" s="46" t="n"/>
      <c r="C78" s="22" t="n"/>
      <c r="D78" s="47">
        <f>IF($B78="","",IFERROR(VLOOKUP($B78,Triggers!$A$5:$C$40,2,FALSE),"— not a listed event"))</f>
        <v/>
      </c>
      <c r="E78" s="47">
        <f>IF($B78="","",IFERROR(VLOOKUP($B78,Triggers!$A$5:$C$40,3,FALSE),""))</f>
        <v/>
      </c>
      <c r="F78" s="24" t="n"/>
      <c r="G78" s="23" t="n"/>
      <c r="H78" s="23" t="n"/>
      <c r="I78" s="22" t="n"/>
    </row>
    <row r="79" ht="30" customHeight="1">
      <c r="A79" s="43" t="n"/>
      <c r="B79" s="28" t="n"/>
      <c r="C79" s="15" t="n"/>
      <c r="D79" s="40">
        <f>IF($B79="","",IFERROR(VLOOKUP($B79,Triggers!$A$5:$C$40,2,FALSE),"— not a listed event"))</f>
        <v/>
      </c>
      <c r="E79" s="40">
        <f>IF($B79="","",IFERROR(VLOOKUP($B79,Triggers!$A$5:$C$40,3,FALSE),""))</f>
        <v/>
      </c>
      <c r="F79" s="17" t="n"/>
      <c r="G79" s="16" t="n"/>
      <c r="H79" s="16" t="n"/>
      <c r="I79" s="15" t="n"/>
    </row>
    <row r="80" ht="30" customHeight="1">
      <c r="A80" s="50" t="n"/>
      <c r="B80" s="46" t="n"/>
      <c r="C80" s="22" t="n"/>
      <c r="D80" s="47">
        <f>IF($B80="","",IFERROR(VLOOKUP($B80,Triggers!$A$5:$C$40,2,FALSE),"— not a listed event"))</f>
        <v/>
      </c>
      <c r="E80" s="47">
        <f>IF($B80="","",IFERROR(VLOOKUP($B80,Triggers!$A$5:$C$40,3,FALSE),""))</f>
        <v/>
      </c>
      <c r="F80" s="24" t="n"/>
      <c r="G80" s="23" t="n"/>
      <c r="H80" s="23" t="n"/>
      <c r="I80" s="22" t="n"/>
    </row>
    <row r="81" ht="30" customHeight="1">
      <c r="A81" s="43" t="n"/>
      <c r="B81" s="28" t="n"/>
      <c r="C81" s="15" t="n"/>
      <c r="D81" s="40">
        <f>IF($B81="","",IFERROR(VLOOKUP($B81,Triggers!$A$5:$C$40,2,FALSE),"— not a listed event"))</f>
        <v/>
      </c>
      <c r="E81" s="40">
        <f>IF($B81="","",IFERROR(VLOOKUP($B81,Triggers!$A$5:$C$40,3,FALSE),""))</f>
        <v/>
      </c>
      <c r="F81" s="17" t="n"/>
      <c r="G81" s="16" t="n"/>
      <c r="H81" s="16" t="n"/>
      <c r="I81" s="15" t="n"/>
    </row>
    <row r="82" ht="30" customHeight="1">
      <c r="A82" s="50" t="n"/>
      <c r="B82" s="46" t="n"/>
      <c r="C82" s="22" t="n"/>
      <c r="D82" s="47">
        <f>IF($B82="","",IFERROR(VLOOKUP($B82,Triggers!$A$5:$C$40,2,FALSE),"— not a listed event"))</f>
        <v/>
      </c>
      <c r="E82" s="47">
        <f>IF($B82="","",IFERROR(VLOOKUP($B82,Triggers!$A$5:$C$40,3,FALSE),""))</f>
        <v/>
      </c>
      <c r="F82" s="24" t="n"/>
      <c r="G82" s="23" t="n"/>
      <c r="H82" s="23" t="n"/>
      <c r="I82" s="22" t="n"/>
    </row>
    <row r="83" ht="30" customHeight="1">
      <c r="A83" s="43" t="n"/>
      <c r="B83" s="28" t="n"/>
      <c r="C83" s="15" t="n"/>
      <c r="D83" s="40">
        <f>IF($B83="","",IFERROR(VLOOKUP($B83,Triggers!$A$5:$C$40,2,FALSE),"— not a listed event"))</f>
        <v/>
      </c>
      <c r="E83" s="40">
        <f>IF($B83="","",IFERROR(VLOOKUP($B83,Triggers!$A$5:$C$40,3,FALSE),""))</f>
        <v/>
      </c>
      <c r="F83" s="17" t="n"/>
      <c r="G83" s="16" t="n"/>
      <c r="H83" s="16" t="n"/>
      <c r="I83" s="15" t="n"/>
    </row>
    <row r="84" ht="30" customHeight="1">
      <c r="A84" s="50" t="n"/>
      <c r="B84" s="46" t="n"/>
      <c r="C84" s="22" t="n"/>
      <c r="D84" s="47">
        <f>IF($B84="","",IFERROR(VLOOKUP($B84,Triggers!$A$5:$C$40,2,FALSE),"— not a listed event"))</f>
        <v/>
      </c>
      <c r="E84" s="47">
        <f>IF($B84="","",IFERROR(VLOOKUP($B84,Triggers!$A$5:$C$40,3,FALSE),""))</f>
        <v/>
      </c>
      <c r="F84" s="24" t="n"/>
      <c r="G84" s="23" t="n"/>
      <c r="H84" s="23" t="n"/>
      <c r="I84" s="22" t="n"/>
    </row>
    <row r="85" ht="30" customHeight="1">
      <c r="A85" s="43" t="n"/>
      <c r="B85" s="28" t="n"/>
      <c r="C85" s="15" t="n"/>
      <c r="D85" s="40">
        <f>IF($B85="","",IFERROR(VLOOKUP($B85,Triggers!$A$5:$C$40,2,FALSE),"— not a listed event"))</f>
        <v/>
      </c>
      <c r="E85" s="40">
        <f>IF($B85="","",IFERROR(VLOOKUP($B85,Triggers!$A$5:$C$40,3,FALSE),""))</f>
        <v/>
      </c>
      <c r="F85" s="17" t="n"/>
      <c r="G85" s="16" t="n"/>
      <c r="H85" s="16" t="n"/>
      <c r="I85" s="15" t="n"/>
    </row>
    <row r="86" ht="30" customHeight="1">
      <c r="A86" s="50" t="n"/>
      <c r="B86" s="46" t="n"/>
      <c r="C86" s="22" t="n"/>
      <c r="D86" s="47">
        <f>IF($B86="","",IFERROR(VLOOKUP($B86,Triggers!$A$5:$C$40,2,FALSE),"— not a listed event"))</f>
        <v/>
      </c>
      <c r="E86" s="47">
        <f>IF($B86="","",IFERROR(VLOOKUP($B86,Triggers!$A$5:$C$40,3,FALSE),""))</f>
        <v/>
      </c>
      <c r="F86" s="24" t="n"/>
      <c r="G86" s="23" t="n"/>
      <c r="H86" s="23" t="n"/>
      <c r="I86" s="22" t="n"/>
    </row>
    <row r="87" ht="30" customHeight="1">
      <c r="A87" s="43" t="n"/>
      <c r="B87" s="28" t="n"/>
      <c r="C87" s="15" t="n"/>
      <c r="D87" s="40">
        <f>IF($B87="","",IFERROR(VLOOKUP($B87,Triggers!$A$5:$C$40,2,FALSE),"— not a listed event"))</f>
        <v/>
      </c>
      <c r="E87" s="40">
        <f>IF($B87="","",IFERROR(VLOOKUP($B87,Triggers!$A$5:$C$40,3,FALSE),""))</f>
        <v/>
      </c>
      <c r="F87" s="17" t="n"/>
      <c r="G87" s="16" t="n"/>
      <c r="H87" s="16" t="n"/>
      <c r="I87" s="15" t="n"/>
    </row>
    <row r="88" ht="30" customHeight="1">
      <c r="A88" s="50" t="n"/>
      <c r="B88" s="46" t="n"/>
      <c r="C88" s="22" t="n"/>
      <c r="D88" s="47">
        <f>IF($B88="","",IFERROR(VLOOKUP($B88,Triggers!$A$5:$C$40,2,FALSE),"— not a listed event"))</f>
        <v/>
      </c>
      <c r="E88" s="47">
        <f>IF($B88="","",IFERROR(VLOOKUP($B88,Triggers!$A$5:$C$40,3,FALSE),""))</f>
        <v/>
      </c>
      <c r="F88" s="24" t="n"/>
      <c r="G88" s="23" t="n"/>
      <c r="H88" s="23" t="n"/>
      <c r="I88" s="22" t="n"/>
    </row>
    <row r="89" ht="30" customHeight="1">
      <c r="A89" s="43" t="n"/>
      <c r="B89" s="28" t="n"/>
      <c r="C89" s="15" t="n"/>
      <c r="D89" s="40">
        <f>IF($B89="","",IFERROR(VLOOKUP($B89,Triggers!$A$5:$C$40,2,FALSE),"— not a listed event"))</f>
        <v/>
      </c>
      <c r="E89" s="40">
        <f>IF($B89="","",IFERROR(VLOOKUP($B89,Triggers!$A$5:$C$40,3,FALSE),""))</f>
        <v/>
      </c>
      <c r="F89" s="17" t="n"/>
      <c r="G89" s="16" t="n"/>
      <c r="H89" s="16" t="n"/>
      <c r="I89" s="15" t="n"/>
    </row>
    <row r="90" ht="30" customHeight="1">
      <c r="A90" s="50" t="n"/>
      <c r="B90" s="46" t="n"/>
      <c r="C90" s="22" t="n"/>
      <c r="D90" s="47">
        <f>IF($B90="","",IFERROR(VLOOKUP($B90,Triggers!$A$5:$C$40,2,FALSE),"— not a listed event"))</f>
        <v/>
      </c>
      <c r="E90" s="47">
        <f>IF($B90="","",IFERROR(VLOOKUP($B90,Triggers!$A$5:$C$40,3,FALSE),""))</f>
        <v/>
      </c>
      <c r="F90" s="24" t="n"/>
      <c r="G90" s="23" t="n"/>
      <c r="H90" s="23" t="n"/>
      <c r="I90" s="22" t="n"/>
    </row>
    <row r="91" ht="30" customHeight="1">
      <c r="A91" s="43" t="n"/>
      <c r="B91" s="28" t="n"/>
      <c r="C91" s="15" t="n"/>
      <c r="D91" s="40">
        <f>IF($B91="","",IFERROR(VLOOKUP($B91,Triggers!$A$5:$C$40,2,FALSE),"— not a listed event"))</f>
        <v/>
      </c>
      <c r="E91" s="40">
        <f>IF($B91="","",IFERROR(VLOOKUP($B91,Triggers!$A$5:$C$40,3,FALSE),""))</f>
        <v/>
      </c>
      <c r="F91" s="17" t="n"/>
      <c r="G91" s="16" t="n"/>
      <c r="H91" s="16" t="n"/>
      <c r="I91" s="15" t="n"/>
    </row>
    <row r="92" ht="30" customHeight="1">
      <c r="A92" s="50" t="n"/>
      <c r="B92" s="46" t="n"/>
      <c r="C92" s="22" t="n"/>
      <c r="D92" s="47">
        <f>IF($B92="","",IFERROR(VLOOKUP($B92,Triggers!$A$5:$C$40,2,FALSE),"— not a listed event"))</f>
        <v/>
      </c>
      <c r="E92" s="47">
        <f>IF($B92="","",IFERROR(VLOOKUP($B92,Triggers!$A$5:$C$40,3,FALSE),""))</f>
        <v/>
      </c>
      <c r="F92" s="24" t="n"/>
      <c r="G92" s="23" t="n"/>
      <c r="H92" s="23" t="n"/>
      <c r="I92" s="22" t="n"/>
    </row>
    <row r="93" ht="30" customHeight="1">
      <c r="A93" s="43" t="n"/>
      <c r="B93" s="28" t="n"/>
      <c r="C93" s="15" t="n"/>
      <c r="D93" s="40">
        <f>IF($B93="","",IFERROR(VLOOKUP($B93,Triggers!$A$5:$C$40,2,FALSE),"— not a listed event"))</f>
        <v/>
      </c>
      <c r="E93" s="40">
        <f>IF($B93="","",IFERROR(VLOOKUP($B93,Triggers!$A$5:$C$40,3,FALSE),""))</f>
        <v/>
      </c>
      <c r="F93" s="17" t="n"/>
      <c r="G93" s="16" t="n"/>
      <c r="H93" s="16" t="n"/>
      <c r="I93" s="15" t="n"/>
    </row>
    <row r="94" ht="30" customHeight="1">
      <c r="A94" s="50" t="n"/>
      <c r="B94" s="46" t="n"/>
      <c r="C94" s="22" t="n"/>
      <c r="D94" s="47">
        <f>IF($B94="","",IFERROR(VLOOKUP($B94,Triggers!$A$5:$C$40,2,FALSE),"— not a listed event"))</f>
        <v/>
      </c>
      <c r="E94" s="47">
        <f>IF($B94="","",IFERROR(VLOOKUP($B94,Triggers!$A$5:$C$40,3,FALSE),""))</f>
        <v/>
      </c>
      <c r="F94" s="24" t="n"/>
      <c r="G94" s="23" t="n"/>
      <c r="H94" s="23" t="n"/>
      <c r="I94" s="22" t="n"/>
    </row>
    <row r="95" ht="30" customHeight="1">
      <c r="A95" s="43" t="n"/>
      <c r="B95" s="28" t="n"/>
      <c r="C95" s="15" t="n"/>
      <c r="D95" s="40">
        <f>IF($B95="","",IFERROR(VLOOKUP($B95,Triggers!$A$5:$C$40,2,FALSE),"— not a listed event"))</f>
        <v/>
      </c>
      <c r="E95" s="40">
        <f>IF($B95="","",IFERROR(VLOOKUP($B95,Triggers!$A$5:$C$40,3,FALSE),""))</f>
        <v/>
      </c>
      <c r="F95" s="17" t="n"/>
      <c r="G95" s="16" t="n"/>
      <c r="H95" s="16" t="n"/>
      <c r="I95" s="15" t="n"/>
    </row>
    <row r="96" ht="30" customHeight="1">
      <c r="A96" s="50" t="n"/>
      <c r="B96" s="46" t="n"/>
      <c r="C96" s="22" t="n"/>
      <c r="D96" s="47">
        <f>IF($B96="","",IFERROR(VLOOKUP($B96,Triggers!$A$5:$C$40,2,FALSE),"— not a listed event"))</f>
        <v/>
      </c>
      <c r="E96" s="47">
        <f>IF($B96="","",IFERROR(VLOOKUP($B96,Triggers!$A$5:$C$40,3,FALSE),""))</f>
        <v/>
      </c>
      <c r="F96" s="24" t="n"/>
      <c r="G96" s="23" t="n"/>
      <c r="H96" s="23" t="n"/>
      <c r="I96" s="22" t="n"/>
    </row>
    <row r="97" ht="30" customHeight="1">
      <c r="A97" s="43" t="n"/>
      <c r="B97" s="28" t="n"/>
      <c r="C97" s="15" t="n"/>
      <c r="D97" s="40">
        <f>IF($B97="","",IFERROR(VLOOKUP($B97,Triggers!$A$5:$C$40,2,FALSE),"— not a listed event"))</f>
        <v/>
      </c>
      <c r="E97" s="40">
        <f>IF($B97="","",IFERROR(VLOOKUP($B97,Triggers!$A$5:$C$40,3,FALSE),""))</f>
        <v/>
      </c>
      <c r="F97" s="17" t="n"/>
      <c r="G97" s="16" t="n"/>
      <c r="H97" s="16" t="n"/>
      <c r="I97" s="15" t="n"/>
    </row>
    <row r="98" ht="30" customHeight="1">
      <c r="A98" s="50" t="n"/>
      <c r="B98" s="46" t="n"/>
      <c r="C98" s="22" t="n"/>
      <c r="D98" s="47">
        <f>IF($B98="","",IFERROR(VLOOKUP($B98,Triggers!$A$5:$C$40,2,FALSE),"— not a listed event"))</f>
        <v/>
      </c>
      <c r="E98" s="47">
        <f>IF($B98="","",IFERROR(VLOOKUP($B98,Triggers!$A$5:$C$40,3,FALSE),""))</f>
        <v/>
      </c>
      <c r="F98" s="24" t="n"/>
      <c r="G98" s="23" t="n"/>
      <c r="H98" s="23" t="n"/>
      <c r="I98" s="22" t="n"/>
    </row>
    <row r="99" ht="30" customHeight="1">
      <c r="A99" s="43" t="n"/>
      <c r="B99" s="28" t="n"/>
      <c r="C99" s="15" t="n"/>
      <c r="D99" s="40">
        <f>IF($B99="","",IFERROR(VLOOKUP($B99,Triggers!$A$5:$C$40,2,FALSE),"— not a listed event"))</f>
        <v/>
      </c>
      <c r="E99" s="40">
        <f>IF($B99="","",IFERROR(VLOOKUP($B99,Triggers!$A$5:$C$40,3,FALSE),""))</f>
        <v/>
      </c>
      <c r="F99" s="17" t="n"/>
      <c r="G99" s="16" t="n"/>
      <c r="H99" s="16" t="n"/>
      <c r="I99" s="15" t="n"/>
    </row>
    <row r="100" ht="30" customHeight="1">
      <c r="A100" s="50" t="n"/>
      <c r="B100" s="46" t="n"/>
      <c r="C100" s="22" t="n"/>
      <c r="D100" s="47">
        <f>IF($B100="","",IFERROR(VLOOKUP($B100,Triggers!$A$5:$C$40,2,FALSE),"— not a listed event"))</f>
        <v/>
      </c>
      <c r="E100" s="47">
        <f>IF($B100="","",IFERROR(VLOOKUP($B100,Triggers!$A$5:$C$40,3,FALSE),""))</f>
        <v/>
      </c>
      <c r="F100" s="24" t="n"/>
      <c r="G100" s="23" t="n"/>
      <c r="H100" s="23" t="n"/>
      <c r="I100" s="22" t="n"/>
    </row>
    <row r="101" ht="30" customHeight="1">
      <c r="A101" s="43" t="n"/>
      <c r="B101" s="28" t="n"/>
      <c r="C101" s="15" t="n"/>
      <c r="D101" s="40">
        <f>IF($B101="","",IFERROR(VLOOKUP($B101,Triggers!$A$5:$C$40,2,FALSE),"— not a listed event"))</f>
        <v/>
      </c>
      <c r="E101" s="40">
        <f>IF($B101="","",IFERROR(VLOOKUP($B101,Triggers!$A$5:$C$40,3,FALSE),""))</f>
        <v/>
      </c>
      <c r="F101" s="17" t="n"/>
      <c r="G101" s="16" t="n"/>
      <c r="H101" s="16" t="n"/>
      <c r="I101" s="15" t="n"/>
    </row>
    <row r="102" ht="30" customHeight="1">
      <c r="A102" s="50" t="n"/>
      <c r="B102" s="46" t="n"/>
      <c r="C102" s="22" t="n"/>
      <c r="D102" s="47">
        <f>IF($B102="","",IFERROR(VLOOKUP($B102,Triggers!$A$5:$C$40,2,FALSE),"— not a listed event"))</f>
        <v/>
      </c>
      <c r="E102" s="47">
        <f>IF($B102="","",IFERROR(VLOOKUP($B102,Triggers!$A$5:$C$40,3,FALSE),""))</f>
        <v/>
      </c>
      <c r="F102" s="24" t="n"/>
      <c r="G102" s="23" t="n"/>
      <c r="H102" s="23" t="n"/>
      <c r="I102" s="22" t="n"/>
    </row>
    <row r="103" ht="30" customHeight="1">
      <c r="A103" s="43" t="n"/>
      <c r="B103" s="28" t="n"/>
      <c r="C103" s="15" t="n"/>
      <c r="D103" s="40">
        <f>IF($B103="","",IFERROR(VLOOKUP($B103,Triggers!$A$5:$C$40,2,FALSE),"— not a listed event"))</f>
        <v/>
      </c>
      <c r="E103" s="40">
        <f>IF($B103="","",IFERROR(VLOOKUP($B103,Triggers!$A$5:$C$40,3,FALSE),""))</f>
        <v/>
      </c>
      <c r="F103" s="17" t="n"/>
      <c r="G103" s="16" t="n"/>
      <c r="H103" s="16" t="n"/>
      <c r="I103" s="15" t="n"/>
    </row>
    <row r="104" ht="30" customHeight="1">
      <c r="A104" s="50" t="n"/>
      <c r="B104" s="46" t="n"/>
      <c r="C104" s="22" t="n"/>
      <c r="D104" s="47">
        <f>IF($B104="","",IFERROR(VLOOKUP($B104,Triggers!$A$5:$C$40,2,FALSE),"— not a listed event"))</f>
        <v/>
      </c>
      <c r="E104" s="47">
        <f>IF($B104="","",IFERROR(VLOOKUP($B104,Triggers!$A$5:$C$40,3,FALSE),""))</f>
        <v/>
      </c>
      <c r="F104" s="24" t="n"/>
      <c r="G104" s="23" t="n"/>
      <c r="H104" s="23" t="n"/>
      <c r="I104" s="22" t="n"/>
    </row>
    <row r="105" ht="30" customHeight="1">
      <c r="A105" s="43" t="n"/>
      <c r="B105" s="28" t="n"/>
      <c r="C105" s="15" t="n"/>
      <c r="D105" s="40">
        <f>IF($B105="","",IFERROR(VLOOKUP($B105,Triggers!$A$5:$C$40,2,FALSE),"— not a listed event"))</f>
        <v/>
      </c>
      <c r="E105" s="40">
        <f>IF($B105="","",IFERROR(VLOOKUP($B105,Triggers!$A$5:$C$40,3,FALSE),""))</f>
        <v/>
      </c>
      <c r="F105" s="17" t="n"/>
      <c r="G105" s="16" t="n"/>
      <c r="H105" s="16" t="n"/>
      <c r="I105" s="15" t="n"/>
    </row>
    <row r="106" ht="30" customHeight="1">
      <c r="A106" s="50" t="n"/>
      <c r="B106" s="46" t="n"/>
      <c r="C106" s="22" t="n"/>
      <c r="D106" s="47">
        <f>IF($B106="","",IFERROR(VLOOKUP($B106,Triggers!$A$5:$C$40,2,FALSE),"— not a listed event"))</f>
        <v/>
      </c>
      <c r="E106" s="47">
        <f>IF($B106="","",IFERROR(VLOOKUP($B106,Triggers!$A$5:$C$40,3,FALSE),""))</f>
        <v/>
      </c>
      <c r="F106" s="24" t="n"/>
      <c r="G106" s="23" t="n"/>
      <c r="H106" s="23" t="n"/>
      <c r="I106" s="22" t="n"/>
    </row>
    <row r="107" ht="30" customHeight="1">
      <c r="A107" s="43" t="n"/>
      <c r="B107" s="28" t="n"/>
      <c r="C107" s="15" t="n"/>
      <c r="D107" s="40">
        <f>IF($B107="","",IFERROR(VLOOKUP($B107,Triggers!$A$5:$C$40,2,FALSE),"— not a listed event"))</f>
        <v/>
      </c>
      <c r="E107" s="40">
        <f>IF($B107="","",IFERROR(VLOOKUP($B107,Triggers!$A$5:$C$40,3,FALSE),""))</f>
        <v/>
      </c>
      <c r="F107" s="17" t="n"/>
      <c r="G107" s="16" t="n"/>
      <c r="H107" s="16" t="n"/>
      <c r="I107" s="15" t="n"/>
    </row>
    <row r="108" ht="30" customHeight="1">
      <c r="A108" s="50" t="n"/>
      <c r="B108" s="46" t="n"/>
      <c r="C108" s="22" t="n"/>
      <c r="D108" s="47">
        <f>IF($B108="","",IFERROR(VLOOKUP($B108,Triggers!$A$5:$C$40,2,FALSE),"— not a listed event"))</f>
        <v/>
      </c>
      <c r="E108" s="47">
        <f>IF($B108="","",IFERROR(VLOOKUP($B108,Triggers!$A$5:$C$40,3,FALSE),""))</f>
        <v/>
      </c>
      <c r="F108" s="24" t="n"/>
      <c r="G108" s="23" t="n"/>
      <c r="H108" s="23" t="n"/>
      <c r="I108" s="22" t="n"/>
    </row>
    <row r="109" ht="30" customHeight="1">
      <c r="A109" s="43" t="n"/>
      <c r="B109" s="28" t="n"/>
      <c r="C109" s="15" t="n"/>
      <c r="D109" s="40">
        <f>IF($B109="","",IFERROR(VLOOKUP($B109,Triggers!$A$5:$C$40,2,FALSE),"— not a listed event"))</f>
        <v/>
      </c>
      <c r="E109" s="40">
        <f>IF($B109="","",IFERROR(VLOOKUP($B109,Triggers!$A$5:$C$40,3,FALSE),""))</f>
        <v/>
      </c>
      <c r="F109" s="17" t="n"/>
      <c r="G109" s="16" t="n"/>
      <c r="H109" s="16" t="n"/>
      <c r="I109" s="15" t="n"/>
    </row>
    <row r="110" ht="30" customHeight="1">
      <c r="A110" s="50" t="n"/>
      <c r="B110" s="46" t="n"/>
      <c r="C110" s="22" t="n"/>
      <c r="D110" s="47">
        <f>IF($B110="","",IFERROR(VLOOKUP($B110,Triggers!$A$5:$C$40,2,FALSE),"— not a listed event"))</f>
        <v/>
      </c>
      <c r="E110" s="47">
        <f>IF($B110="","",IFERROR(VLOOKUP($B110,Triggers!$A$5:$C$40,3,FALSE),""))</f>
        <v/>
      </c>
      <c r="F110" s="24" t="n"/>
      <c r="G110" s="23" t="n"/>
      <c r="H110" s="23" t="n"/>
      <c r="I110" s="22" t="n"/>
    </row>
    <row r="111" ht="30" customHeight="1">
      <c r="A111" s="43" t="n"/>
      <c r="B111" s="28" t="n"/>
      <c r="C111" s="15" t="n"/>
      <c r="D111" s="40">
        <f>IF($B111="","",IFERROR(VLOOKUP($B111,Triggers!$A$5:$C$40,2,FALSE),"— not a listed event"))</f>
        <v/>
      </c>
      <c r="E111" s="40">
        <f>IF($B111="","",IFERROR(VLOOKUP($B111,Triggers!$A$5:$C$40,3,FALSE),""))</f>
        <v/>
      </c>
      <c r="F111" s="17" t="n"/>
      <c r="G111" s="16" t="n"/>
      <c r="H111" s="16" t="n"/>
      <c r="I111" s="15" t="n"/>
    </row>
    <row r="112" ht="30" customHeight="1">
      <c r="A112" s="50" t="n"/>
      <c r="B112" s="46" t="n"/>
      <c r="C112" s="22" t="n"/>
      <c r="D112" s="47">
        <f>IF($B112="","",IFERROR(VLOOKUP($B112,Triggers!$A$5:$C$40,2,FALSE),"— not a listed event"))</f>
        <v/>
      </c>
      <c r="E112" s="47">
        <f>IF($B112="","",IFERROR(VLOOKUP($B112,Triggers!$A$5:$C$40,3,FALSE),""))</f>
        <v/>
      </c>
      <c r="F112" s="24" t="n"/>
      <c r="G112" s="23" t="n"/>
      <c r="H112" s="23" t="n"/>
      <c r="I112" s="22" t="n"/>
    </row>
    <row r="113" ht="30" customHeight="1">
      <c r="A113" s="43" t="n"/>
      <c r="B113" s="28" t="n"/>
      <c r="C113" s="15" t="n"/>
      <c r="D113" s="40">
        <f>IF($B113="","",IFERROR(VLOOKUP($B113,Triggers!$A$5:$C$40,2,FALSE),"— not a listed event"))</f>
        <v/>
      </c>
      <c r="E113" s="40">
        <f>IF($B113="","",IFERROR(VLOOKUP($B113,Triggers!$A$5:$C$40,3,FALSE),""))</f>
        <v/>
      </c>
      <c r="F113" s="17" t="n"/>
      <c r="G113" s="16" t="n"/>
      <c r="H113" s="16" t="n"/>
      <c r="I113" s="15" t="n"/>
    </row>
    <row r="114" ht="30" customHeight="1">
      <c r="A114" s="50" t="n"/>
      <c r="B114" s="46" t="n"/>
      <c r="C114" s="22" t="n"/>
      <c r="D114" s="47">
        <f>IF($B114="","",IFERROR(VLOOKUP($B114,Triggers!$A$5:$C$40,2,FALSE),"— not a listed event"))</f>
        <v/>
      </c>
      <c r="E114" s="47">
        <f>IF($B114="","",IFERROR(VLOOKUP($B114,Triggers!$A$5:$C$40,3,FALSE),""))</f>
        <v/>
      </c>
      <c r="F114" s="24" t="n"/>
      <c r="G114" s="23" t="n"/>
      <c r="H114" s="23" t="n"/>
      <c r="I114" s="22" t="n"/>
    </row>
    <row r="115" ht="30" customHeight="1">
      <c r="A115" s="43" t="n"/>
      <c r="B115" s="28" t="n"/>
      <c r="C115" s="15" t="n"/>
      <c r="D115" s="40">
        <f>IF($B115="","",IFERROR(VLOOKUP($B115,Triggers!$A$5:$C$40,2,FALSE),"— not a listed event"))</f>
        <v/>
      </c>
      <c r="E115" s="40">
        <f>IF($B115="","",IFERROR(VLOOKUP($B115,Triggers!$A$5:$C$40,3,FALSE),""))</f>
        <v/>
      </c>
      <c r="F115" s="17" t="n"/>
      <c r="G115" s="16" t="n"/>
      <c r="H115" s="16" t="n"/>
      <c r="I115" s="15" t="n"/>
    </row>
    <row r="116" ht="30" customHeight="1">
      <c r="A116" s="50" t="n"/>
      <c r="B116" s="46" t="n"/>
      <c r="C116" s="22" t="n"/>
      <c r="D116" s="47">
        <f>IF($B116="","",IFERROR(VLOOKUP($B116,Triggers!$A$5:$C$40,2,FALSE),"— not a listed event"))</f>
        <v/>
      </c>
      <c r="E116" s="47">
        <f>IF($B116="","",IFERROR(VLOOKUP($B116,Triggers!$A$5:$C$40,3,FALSE),""))</f>
        <v/>
      </c>
      <c r="F116" s="24" t="n"/>
      <c r="G116" s="23" t="n"/>
      <c r="H116" s="23" t="n"/>
      <c r="I116" s="22" t="n"/>
    </row>
    <row r="117" ht="30" customHeight="1">
      <c r="A117" s="43" t="n"/>
      <c r="B117" s="28" t="n"/>
      <c r="C117" s="15" t="n"/>
      <c r="D117" s="40">
        <f>IF($B117="","",IFERROR(VLOOKUP($B117,Triggers!$A$5:$C$40,2,FALSE),"— not a listed event"))</f>
        <v/>
      </c>
      <c r="E117" s="40">
        <f>IF($B117="","",IFERROR(VLOOKUP($B117,Triggers!$A$5:$C$40,3,FALSE),""))</f>
        <v/>
      </c>
      <c r="F117" s="17" t="n"/>
      <c r="G117" s="16" t="n"/>
      <c r="H117" s="16" t="n"/>
      <c r="I117" s="15" t="n"/>
    </row>
    <row r="118" ht="30" customHeight="1">
      <c r="A118" s="50" t="n"/>
      <c r="B118" s="46" t="n"/>
      <c r="C118" s="22" t="n"/>
      <c r="D118" s="47">
        <f>IF($B118="","",IFERROR(VLOOKUP($B118,Triggers!$A$5:$C$40,2,FALSE),"— not a listed event"))</f>
        <v/>
      </c>
      <c r="E118" s="47">
        <f>IF($B118="","",IFERROR(VLOOKUP($B118,Triggers!$A$5:$C$40,3,FALSE),""))</f>
        <v/>
      </c>
      <c r="F118" s="24" t="n"/>
      <c r="G118" s="23" t="n"/>
      <c r="H118" s="23" t="n"/>
      <c r="I118" s="22" t="n"/>
    </row>
    <row r="119" ht="30" customHeight="1">
      <c r="A119" s="43" t="n"/>
      <c r="B119" s="28" t="n"/>
      <c r="C119" s="15" t="n"/>
      <c r="D119" s="40">
        <f>IF($B119="","",IFERROR(VLOOKUP($B119,Triggers!$A$5:$C$40,2,FALSE),"— not a listed event"))</f>
        <v/>
      </c>
      <c r="E119" s="40">
        <f>IF($B119="","",IFERROR(VLOOKUP($B119,Triggers!$A$5:$C$40,3,FALSE),""))</f>
        <v/>
      </c>
      <c r="F119" s="17" t="n"/>
      <c r="G119" s="16" t="n"/>
      <c r="H119" s="16" t="n"/>
      <c r="I119" s="15" t="n"/>
    </row>
    <row r="120" ht="30" customHeight="1">
      <c r="A120" s="50" t="n"/>
      <c r="B120" s="46" t="n"/>
      <c r="C120" s="22" t="n"/>
      <c r="D120" s="47">
        <f>IF($B120="","",IFERROR(VLOOKUP($B120,Triggers!$A$5:$C$40,2,FALSE),"— not a listed event"))</f>
        <v/>
      </c>
      <c r="E120" s="47">
        <f>IF($B120="","",IFERROR(VLOOKUP($B120,Triggers!$A$5:$C$40,3,FALSE),""))</f>
        <v/>
      </c>
      <c r="F120" s="24" t="n"/>
      <c r="G120" s="23" t="n"/>
      <c r="H120" s="23" t="n"/>
      <c r="I120" s="22" t="n"/>
    </row>
    <row r="121" ht="30" customHeight="1">
      <c r="A121" s="43" t="n"/>
      <c r="B121" s="28" t="n"/>
      <c r="C121" s="15" t="n"/>
      <c r="D121" s="40">
        <f>IF($B121="","",IFERROR(VLOOKUP($B121,Triggers!$A$5:$C$40,2,FALSE),"— not a listed event"))</f>
        <v/>
      </c>
      <c r="E121" s="40">
        <f>IF($B121="","",IFERROR(VLOOKUP($B121,Triggers!$A$5:$C$40,3,FALSE),""))</f>
        <v/>
      </c>
      <c r="F121" s="17" t="n"/>
      <c r="G121" s="16" t="n"/>
      <c r="H121" s="16" t="n"/>
      <c r="I121" s="15" t="n"/>
    </row>
    <row r="122" ht="30" customHeight="1">
      <c r="A122" s="50" t="n"/>
      <c r="B122" s="46" t="n"/>
      <c r="C122" s="22" t="n"/>
      <c r="D122" s="47">
        <f>IF($B122="","",IFERROR(VLOOKUP($B122,Triggers!$A$5:$C$40,2,FALSE),"— not a listed event"))</f>
        <v/>
      </c>
      <c r="E122" s="47">
        <f>IF($B122="","",IFERROR(VLOOKUP($B122,Triggers!$A$5:$C$40,3,FALSE),""))</f>
        <v/>
      </c>
      <c r="F122" s="24" t="n"/>
      <c r="G122" s="23" t="n"/>
      <c r="H122" s="23" t="n"/>
      <c r="I122" s="22" t="n"/>
    </row>
    <row r="123" ht="30" customHeight="1">
      <c r="A123" s="43" t="n"/>
      <c r="B123" s="28" t="n"/>
      <c r="C123" s="15" t="n"/>
      <c r="D123" s="40">
        <f>IF($B123="","",IFERROR(VLOOKUP($B123,Triggers!$A$5:$C$40,2,FALSE),"— not a listed event"))</f>
        <v/>
      </c>
      <c r="E123" s="40">
        <f>IF($B123="","",IFERROR(VLOOKUP($B123,Triggers!$A$5:$C$40,3,FALSE),""))</f>
        <v/>
      </c>
      <c r="F123" s="17" t="n"/>
      <c r="G123" s="16" t="n"/>
      <c r="H123" s="16" t="n"/>
      <c r="I123" s="15" t="n"/>
    </row>
    <row r="124" ht="30" customHeight="1">
      <c r="A124" s="50" t="n"/>
      <c r="B124" s="46" t="n"/>
      <c r="C124" s="22" t="n"/>
      <c r="D124" s="47">
        <f>IF($B124="","",IFERROR(VLOOKUP($B124,Triggers!$A$5:$C$40,2,FALSE),"— not a listed event"))</f>
        <v/>
      </c>
      <c r="E124" s="47">
        <f>IF($B124="","",IFERROR(VLOOKUP($B124,Triggers!$A$5:$C$40,3,FALSE),""))</f>
        <v/>
      </c>
      <c r="F124" s="24" t="n"/>
      <c r="G124" s="23" t="n"/>
      <c r="H124" s="23" t="n"/>
      <c r="I124" s="22" t="n"/>
    </row>
    <row r="125" ht="30" customHeight="1">
      <c r="A125" s="43" t="n"/>
      <c r="B125" s="28" t="n"/>
      <c r="C125" s="15" t="n"/>
      <c r="D125" s="40">
        <f>IF($B125="","",IFERROR(VLOOKUP($B125,Triggers!$A$5:$C$40,2,FALSE),"— not a listed event"))</f>
        <v/>
      </c>
      <c r="E125" s="40">
        <f>IF($B125="","",IFERROR(VLOOKUP($B125,Triggers!$A$5:$C$40,3,FALSE),""))</f>
        <v/>
      </c>
      <c r="F125" s="17" t="n"/>
      <c r="G125" s="16" t="n"/>
      <c r="H125" s="16" t="n"/>
      <c r="I125" s="15" t="n"/>
    </row>
    <row r="126" ht="30" customHeight="1">
      <c r="A126" s="50" t="n"/>
      <c r="B126" s="46" t="n"/>
      <c r="C126" s="22" t="n"/>
      <c r="D126" s="47">
        <f>IF($B126="","",IFERROR(VLOOKUP($B126,Triggers!$A$5:$C$40,2,FALSE),"— not a listed event"))</f>
        <v/>
      </c>
      <c r="E126" s="47">
        <f>IF($B126="","",IFERROR(VLOOKUP($B126,Triggers!$A$5:$C$40,3,FALSE),""))</f>
        <v/>
      </c>
      <c r="F126" s="24" t="n"/>
      <c r="G126" s="23" t="n"/>
      <c r="H126" s="23" t="n"/>
      <c r="I126" s="22" t="n"/>
    </row>
    <row r="127" ht="30" customHeight="1">
      <c r="A127" s="43" t="n"/>
      <c r="B127" s="28" t="n"/>
      <c r="C127" s="15" t="n"/>
      <c r="D127" s="40">
        <f>IF($B127="","",IFERROR(VLOOKUP($B127,Triggers!$A$5:$C$40,2,FALSE),"— not a listed event"))</f>
        <v/>
      </c>
      <c r="E127" s="40">
        <f>IF($B127="","",IFERROR(VLOOKUP($B127,Triggers!$A$5:$C$40,3,FALSE),""))</f>
        <v/>
      </c>
      <c r="F127" s="17" t="n"/>
      <c r="G127" s="16" t="n"/>
      <c r="H127" s="16" t="n"/>
      <c r="I127" s="15" t="n"/>
    </row>
    <row r="128" ht="30" customHeight="1">
      <c r="A128" s="50" t="n"/>
      <c r="B128" s="46" t="n"/>
      <c r="C128" s="22" t="n"/>
      <c r="D128" s="47">
        <f>IF($B128="","",IFERROR(VLOOKUP($B128,Triggers!$A$5:$C$40,2,FALSE),"— not a listed event"))</f>
        <v/>
      </c>
      <c r="E128" s="47">
        <f>IF($B128="","",IFERROR(VLOOKUP($B128,Triggers!$A$5:$C$40,3,FALSE),""))</f>
        <v/>
      </c>
      <c r="F128" s="24" t="n"/>
      <c r="G128" s="23" t="n"/>
      <c r="H128" s="23" t="n"/>
      <c r="I128" s="22" t="n"/>
    </row>
    <row r="129" ht="30" customHeight="1">
      <c r="A129" s="43" t="n"/>
      <c r="B129" s="28" t="n"/>
      <c r="C129" s="15" t="n"/>
      <c r="D129" s="40">
        <f>IF($B129="","",IFERROR(VLOOKUP($B129,Triggers!$A$5:$C$40,2,FALSE),"— not a listed event"))</f>
        <v/>
      </c>
      <c r="E129" s="40">
        <f>IF($B129="","",IFERROR(VLOOKUP($B129,Triggers!$A$5:$C$40,3,FALSE),""))</f>
        <v/>
      </c>
      <c r="F129" s="17" t="n"/>
      <c r="G129" s="16" t="n"/>
      <c r="H129" s="16" t="n"/>
      <c r="I129" s="15" t="n"/>
    </row>
    <row r="130" ht="30" customHeight="1">
      <c r="A130" s="50" t="n"/>
      <c r="B130" s="46" t="n"/>
      <c r="C130" s="22" t="n"/>
      <c r="D130" s="47">
        <f>IF($B130="","",IFERROR(VLOOKUP($B130,Triggers!$A$5:$C$40,2,FALSE),"— not a listed event"))</f>
        <v/>
      </c>
      <c r="E130" s="47">
        <f>IF($B130="","",IFERROR(VLOOKUP($B130,Triggers!$A$5:$C$40,3,FALSE),""))</f>
        <v/>
      </c>
      <c r="F130" s="24" t="n"/>
      <c r="G130" s="23" t="n"/>
      <c r="H130" s="23" t="n"/>
      <c r="I130" s="22" t="n"/>
    </row>
    <row r="131" ht="30" customHeight="1">
      <c r="A131" s="43" t="n"/>
      <c r="B131" s="28" t="n"/>
      <c r="C131" s="15" t="n"/>
      <c r="D131" s="40">
        <f>IF($B131="","",IFERROR(VLOOKUP($B131,Triggers!$A$5:$C$40,2,FALSE),"— not a listed event"))</f>
        <v/>
      </c>
      <c r="E131" s="40">
        <f>IF($B131="","",IFERROR(VLOOKUP($B131,Triggers!$A$5:$C$40,3,FALSE),""))</f>
        <v/>
      </c>
      <c r="F131" s="17" t="n"/>
      <c r="G131" s="16" t="n"/>
      <c r="H131" s="16" t="n"/>
      <c r="I131" s="15" t="n"/>
    </row>
    <row r="132" ht="30" customHeight="1">
      <c r="A132" s="50" t="n"/>
      <c r="B132" s="46" t="n"/>
      <c r="C132" s="22" t="n"/>
      <c r="D132" s="47">
        <f>IF($B132="","",IFERROR(VLOOKUP($B132,Triggers!$A$5:$C$40,2,FALSE),"— not a listed event"))</f>
        <v/>
      </c>
      <c r="E132" s="47">
        <f>IF($B132="","",IFERROR(VLOOKUP($B132,Triggers!$A$5:$C$40,3,FALSE),""))</f>
        <v/>
      </c>
      <c r="F132" s="24" t="n"/>
      <c r="G132" s="23" t="n"/>
      <c r="H132" s="23" t="n"/>
      <c r="I132" s="22" t="n"/>
    </row>
    <row r="133" ht="30" customHeight="1">
      <c r="A133" s="43" t="n"/>
      <c r="B133" s="28" t="n"/>
      <c r="C133" s="15" t="n"/>
      <c r="D133" s="40">
        <f>IF($B133="","",IFERROR(VLOOKUP($B133,Triggers!$A$5:$C$40,2,FALSE),"— not a listed event"))</f>
        <v/>
      </c>
      <c r="E133" s="40">
        <f>IF($B133="","",IFERROR(VLOOKUP($B133,Triggers!$A$5:$C$40,3,FALSE),""))</f>
        <v/>
      </c>
      <c r="F133" s="17" t="n"/>
      <c r="G133" s="16" t="n"/>
      <c r="H133" s="16" t="n"/>
      <c r="I133" s="15" t="n"/>
    </row>
    <row r="134" ht="30" customHeight="1">
      <c r="A134" s="50" t="n"/>
      <c r="B134" s="46" t="n"/>
      <c r="C134" s="22" t="n"/>
      <c r="D134" s="47">
        <f>IF($B134="","",IFERROR(VLOOKUP($B134,Triggers!$A$5:$C$40,2,FALSE),"— not a listed event"))</f>
        <v/>
      </c>
      <c r="E134" s="47">
        <f>IF($B134="","",IFERROR(VLOOKUP($B134,Triggers!$A$5:$C$40,3,FALSE),""))</f>
        <v/>
      </c>
      <c r="F134" s="24" t="n"/>
      <c r="G134" s="23" t="n"/>
      <c r="H134" s="23" t="n"/>
      <c r="I134" s="22" t="n"/>
    </row>
    <row r="135" ht="30" customHeight="1">
      <c r="A135" s="43" t="n"/>
      <c r="B135" s="28" t="n"/>
      <c r="C135" s="15" t="n"/>
      <c r="D135" s="40">
        <f>IF($B135="","",IFERROR(VLOOKUP($B135,Triggers!$A$5:$C$40,2,FALSE),"— not a listed event"))</f>
        <v/>
      </c>
      <c r="E135" s="40">
        <f>IF($B135="","",IFERROR(VLOOKUP($B135,Triggers!$A$5:$C$40,3,FALSE),""))</f>
        <v/>
      </c>
      <c r="F135" s="17" t="n"/>
      <c r="G135" s="16" t="n"/>
      <c r="H135" s="16" t="n"/>
      <c r="I135" s="15" t="n"/>
    </row>
    <row r="136" ht="30" customHeight="1">
      <c r="A136" s="50" t="n"/>
      <c r="B136" s="46" t="n"/>
      <c r="C136" s="22" t="n"/>
      <c r="D136" s="47">
        <f>IF($B136="","",IFERROR(VLOOKUP($B136,Triggers!$A$5:$C$40,2,FALSE),"— not a listed event"))</f>
        <v/>
      </c>
      <c r="E136" s="47">
        <f>IF($B136="","",IFERROR(VLOOKUP($B136,Triggers!$A$5:$C$40,3,FALSE),""))</f>
        <v/>
      </c>
      <c r="F136" s="24" t="n"/>
      <c r="G136" s="23" t="n"/>
      <c r="H136" s="23" t="n"/>
      <c r="I136" s="22" t="n"/>
    </row>
    <row r="137" ht="30" customHeight="1">
      <c r="A137" s="43" t="n"/>
      <c r="B137" s="28" t="n"/>
      <c r="C137" s="15" t="n"/>
      <c r="D137" s="40">
        <f>IF($B137="","",IFERROR(VLOOKUP($B137,Triggers!$A$5:$C$40,2,FALSE),"— not a listed event"))</f>
        <v/>
      </c>
      <c r="E137" s="40">
        <f>IF($B137="","",IFERROR(VLOOKUP($B137,Triggers!$A$5:$C$40,3,FALSE),""))</f>
        <v/>
      </c>
      <c r="F137" s="17" t="n"/>
      <c r="G137" s="16" t="n"/>
      <c r="H137" s="16" t="n"/>
      <c r="I137" s="15" t="n"/>
    </row>
    <row r="138" ht="30" customHeight="1">
      <c r="A138" s="50" t="n"/>
      <c r="B138" s="46" t="n"/>
      <c r="C138" s="22" t="n"/>
      <c r="D138" s="47">
        <f>IF($B138="","",IFERROR(VLOOKUP($B138,Triggers!$A$5:$C$40,2,FALSE),"— not a listed event"))</f>
        <v/>
      </c>
      <c r="E138" s="47">
        <f>IF($B138="","",IFERROR(VLOOKUP($B138,Triggers!$A$5:$C$40,3,FALSE),""))</f>
        <v/>
      </c>
      <c r="F138" s="24" t="n"/>
      <c r="G138" s="23" t="n"/>
      <c r="H138" s="23" t="n"/>
      <c r="I138" s="22" t="n"/>
    </row>
    <row r="139" ht="30" customHeight="1">
      <c r="A139" s="43" t="n"/>
      <c r="B139" s="28" t="n"/>
      <c r="C139" s="15" t="n"/>
      <c r="D139" s="40">
        <f>IF($B139="","",IFERROR(VLOOKUP($B139,Triggers!$A$5:$C$40,2,FALSE),"— not a listed event"))</f>
        <v/>
      </c>
      <c r="E139" s="40">
        <f>IF($B139="","",IFERROR(VLOOKUP($B139,Triggers!$A$5:$C$40,3,FALSE),""))</f>
        <v/>
      </c>
      <c r="F139" s="17" t="n"/>
      <c r="G139" s="16" t="n"/>
      <c r="H139" s="16" t="n"/>
      <c r="I139" s="15" t="n"/>
    </row>
    <row r="140" ht="30" customHeight="1">
      <c r="A140" s="50" t="n"/>
      <c r="B140" s="46" t="n"/>
      <c r="C140" s="22" t="n"/>
      <c r="D140" s="47">
        <f>IF($B140="","",IFERROR(VLOOKUP($B140,Triggers!$A$5:$C$40,2,FALSE),"— not a listed event"))</f>
        <v/>
      </c>
      <c r="E140" s="47">
        <f>IF($B140="","",IFERROR(VLOOKUP($B140,Triggers!$A$5:$C$40,3,FALSE),""))</f>
        <v/>
      </c>
      <c r="F140" s="24" t="n"/>
      <c r="G140" s="23" t="n"/>
      <c r="H140" s="23" t="n"/>
      <c r="I140" s="22" t="n"/>
    </row>
    <row r="141" ht="30" customHeight="1">
      <c r="A141" s="43" t="n"/>
      <c r="B141" s="28" t="n"/>
      <c r="C141" s="15" t="n"/>
      <c r="D141" s="40">
        <f>IF($B141="","",IFERROR(VLOOKUP($B141,Triggers!$A$5:$C$40,2,FALSE),"— not a listed event"))</f>
        <v/>
      </c>
      <c r="E141" s="40">
        <f>IF($B141="","",IFERROR(VLOOKUP($B141,Triggers!$A$5:$C$40,3,FALSE),""))</f>
        <v/>
      </c>
      <c r="F141" s="17" t="n"/>
      <c r="G141" s="16" t="n"/>
      <c r="H141" s="16" t="n"/>
      <c r="I141" s="15" t="n"/>
    </row>
    <row r="142" ht="30" customHeight="1">
      <c r="A142" s="50" t="n"/>
      <c r="B142" s="46" t="n"/>
      <c r="C142" s="22" t="n"/>
      <c r="D142" s="47">
        <f>IF($B142="","",IFERROR(VLOOKUP($B142,Triggers!$A$5:$C$40,2,FALSE),"— not a listed event"))</f>
        <v/>
      </c>
      <c r="E142" s="47">
        <f>IF($B142="","",IFERROR(VLOOKUP($B142,Triggers!$A$5:$C$40,3,FALSE),""))</f>
        <v/>
      </c>
      <c r="F142" s="24" t="n"/>
      <c r="G142" s="23" t="n"/>
      <c r="H142" s="23" t="n"/>
      <c r="I142" s="22" t="n"/>
    </row>
    <row r="143" ht="30" customHeight="1">
      <c r="A143" s="43" t="n"/>
      <c r="B143" s="28" t="n"/>
      <c r="C143" s="15" t="n"/>
      <c r="D143" s="40">
        <f>IF($B143="","",IFERROR(VLOOKUP($B143,Triggers!$A$5:$C$40,2,FALSE),"— not a listed event"))</f>
        <v/>
      </c>
      <c r="E143" s="40">
        <f>IF($B143="","",IFERROR(VLOOKUP($B143,Triggers!$A$5:$C$40,3,FALSE),""))</f>
        <v/>
      </c>
      <c r="F143" s="17" t="n"/>
      <c r="G143" s="16" t="n"/>
      <c r="H143" s="16" t="n"/>
      <c r="I143" s="15" t="n"/>
    </row>
    <row r="144" ht="30" customHeight="1">
      <c r="A144" s="50" t="n"/>
      <c r="B144" s="46" t="n"/>
      <c r="C144" s="22" t="n"/>
      <c r="D144" s="47">
        <f>IF($B144="","",IFERROR(VLOOKUP($B144,Triggers!$A$5:$C$40,2,FALSE),"— not a listed event"))</f>
        <v/>
      </c>
      <c r="E144" s="47">
        <f>IF($B144="","",IFERROR(VLOOKUP($B144,Triggers!$A$5:$C$40,3,FALSE),""))</f>
        <v/>
      </c>
      <c r="F144" s="24" t="n"/>
      <c r="G144" s="23" t="n"/>
      <c r="H144" s="23" t="n"/>
      <c r="I144" s="22" t="n"/>
    </row>
    <row r="145" ht="30" customHeight="1">
      <c r="A145" s="43" t="n"/>
      <c r="B145" s="28" t="n"/>
      <c r="C145" s="15" t="n"/>
      <c r="D145" s="40">
        <f>IF($B145="","",IFERROR(VLOOKUP($B145,Triggers!$A$5:$C$40,2,FALSE),"— not a listed event"))</f>
        <v/>
      </c>
      <c r="E145" s="40">
        <f>IF($B145="","",IFERROR(VLOOKUP($B145,Triggers!$A$5:$C$40,3,FALSE),""))</f>
        <v/>
      </c>
      <c r="F145" s="17" t="n"/>
      <c r="G145" s="16" t="n"/>
      <c r="H145" s="16" t="n"/>
      <c r="I145" s="15" t="n"/>
    </row>
    <row r="146" ht="30" customHeight="1">
      <c r="A146" s="50" t="n"/>
      <c r="B146" s="46" t="n"/>
      <c r="C146" s="22" t="n"/>
      <c r="D146" s="47">
        <f>IF($B146="","",IFERROR(VLOOKUP($B146,Triggers!$A$5:$C$40,2,FALSE),"— not a listed event"))</f>
        <v/>
      </c>
      <c r="E146" s="47">
        <f>IF($B146="","",IFERROR(VLOOKUP($B146,Triggers!$A$5:$C$40,3,FALSE),""))</f>
        <v/>
      </c>
      <c r="F146" s="24" t="n"/>
      <c r="G146" s="23" t="n"/>
      <c r="H146" s="23" t="n"/>
      <c r="I146" s="22" t="n"/>
    </row>
    <row r="147" ht="30" customHeight="1">
      <c r="A147" s="43" t="n"/>
      <c r="B147" s="28" t="n"/>
      <c r="C147" s="15" t="n"/>
      <c r="D147" s="40">
        <f>IF($B147="","",IFERROR(VLOOKUP($B147,Triggers!$A$5:$C$40,2,FALSE),"— not a listed event"))</f>
        <v/>
      </c>
      <c r="E147" s="40">
        <f>IF($B147="","",IFERROR(VLOOKUP($B147,Triggers!$A$5:$C$40,3,FALSE),""))</f>
        <v/>
      </c>
      <c r="F147" s="17" t="n"/>
      <c r="G147" s="16" t="n"/>
      <c r="H147" s="16" t="n"/>
      <c r="I147" s="15" t="n"/>
    </row>
    <row r="148" ht="30" customHeight="1">
      <c r="A148" s="50" t="n"/>
      <c r="B148" s="46" t="n"/>
      <c r="C148" s="22" t="n"/>
      <c r="D148" s="47">
        <f>IF($B148="","",IFERROR(VLOOKUP($B148,Triggers!$A$5:$C$40,2,FALSE),"— not a listed event"))</f>
        <v/>
      </c>
      <c r="E148" s="47">
        <f>IF($B148="","",IFERROR(VLOOKUP($B148,Triggers!$A$5:$C$40,3,FALSE),""))</f>
        <v/>
      </c>
      <c r="F148" s="24" t="n"/>
      <c r="G148" s="23" t="n"/>
      <c r="H148" s="23" t="n"/>
      <c r="I148" s="22" t="n"/>
    </row>
    <row r="149" ht="30" customHeight="1">
      <c r="A149" s="43" t="n"/>
      <c r="B149" s="28" t="n"/>
      <c r="C149" s="15" t="n"/>
      <c r="D149" s="40">
        <f>IF($B149="","",IFERROR(VLOOKUP($B149,Triggers!$A$5:$C$40,2,FALSE),"— not a listed event"))</f>
        <v/>
      </c>
      <c r="E149" s="40">
        <f>IF($B149="","",IFERROR(VLOOKUP($B149,Triggers!$A$5:$C$40,3,FALSE),""))</f>
        <v/>
      </c>
      <c r="F149" s="17" t="n"/>
      <c r="G149" s="16" t="n"/>
      <c r="H149" s="16" t="n"/>
      <c r="I149" s="15" t="n"/>
    </row>
    <row r="150" ht="30" customHeight="1">
      <c r="A150" s="50" t="n"/>
      <c r="B150" s="46" t="n"/>
      <c r="C150" s="22" t="n"/>
      <c r="D150" s="47">
        <f>IF($B150="","",IFERROR(VLOOKUP($B150,Triggers!$A$5:$C$40,2,FALSE),"— not a listed event"))</f>
        <v/>
      </c>
      <c r="E150" s="47">
        <f>IF($B150="","",IFERROR(VLOOKUP($B150,Triggers!$A$5:$C$40,3,FALSE),""))</f>
        <v/>
      </c>
      <c r="F150" s="24" t="n"/>
      <c r="G150" s="23" t="n"/>
      <c r="H150" s="23" t="n"/>
      <c r="I150" s="22" t="n"/>
    </row>
    <row r="151" ht="30" customHeight="1">
      <c r="A151" s="43" t="n"/>
      <c r="B151" s="28" t="n"/>
      <c r="C151" s="15" t="n"/>
      <c r="D151" s="40">
        <f>IF($B151="","",IFERROR(VLOOKUP($B151,Triggers!$A$5:$C$40,2,FALSE),"— not a listed event"))</f>
        <v/>
      </c>
      <c r="E151" s="40">
        <f>IF($B151="","",IFERROR(VLOOKUP($B151,Triggers!$A$5:$C$40,3,FALSE),""))</f>
        <v/>
      </c>
      <c r="F151" s="17" t="n"/>
      <c r="G151" s="16" t="n"/>
      <c r="H151" s="16" t="n"/>
      <c r="I151" s="15" t="n"/>
    </row>
    <row r="152" ht="30" customHeight="1">
      <c r="A152" s="50" t="n"/>
      <c r="B152" s="46" t="n"/>
      <c r="C152" s="22" t="n"/>
      <c r="D152" s="47">
        <f>IF($B152="","",IFERROR(VLOOKUP($B152,Triggers!$A$5:$C$40,2,FALSE),"— not a listed event"))</f>
        <v/>
      </c>
      <c r="E152" s="47">
        <f>IF($B152="","",IFERROR(VLOOKUP($B152,Triggers!$A$5:$C$40,3,FALSE),""))</f>
        <v/>
      </c>
      <c r="F152" s="24" t="n"/>
      <c r="G152" s="23" t="n"/>
      <c r="H152" s="23" t="n"/>
      <c r="I152" s="22" t="n"/>
    </row>
    <row r="153" ht="30" customHeight="1">
      <c r="A153" s="43" t="n"/>
      <c r="B153" s="28" t="n"/>
      <c r="C153" s="15" t="n"/>
      <c r="D153" s="40">
        <f>IF($B153="","",IFERROR(VLOOKUP($B153,Triggers!$A$5:$C$40,2,FALSE),"— not a listed event"))</f>
        <v/>
      </c>
      <c r="E153" s="40">
        <f>IF($B153="","",IFERROR(VLOOKUP($B153,Triggers!$A$5:$C$40,3,FALSE),""))</f>
        <v/>
      </c>
      <c r="F153" s="17" t="n"/>
      <c r="G153" s="16" t="n"/>
      <c r="H153" s="16" t="n"/>
      <c r="I153" s="15" t="n"/>
    </row>
    <row r="154" ht="30" customHeight="1">
      <c r="A154" s="50" t="n"/>
      <c r="B154" s="46" t="n"/>
      <c r="C154" s="22" t="n"/>
      <c r="D154" s="47">
        <f>IF($B154="","",IFERROR(VLOOKUP($B154,Triggers!$A$5:$C$40,2,FALSE),"— not a listed event"))</f>
        <v/>
      </c>
      <c r="E154" s="47">
        <f>IF($B154="","",IFERROR(VLOOKUP($B154,Triggers!$A$5:$C$40,3,FALSE),""))</f>
        <v/>
      </c>
      <c r="F154" s="24" t="n"/>
      <c r="G154" s="23" t="n"/>
      <c r="H154" s="23" t="n"/>
      <c r="I154" s="22" t="n"/>
    </row>
    <row r="155" ht="30" customHeight="1">
      <c r="A155" s="43" t="n"/>
      <c r="B155" s="28" t="n"/>
      <c r="C155" s="15" t="n"/>
      <c r="D155" s="40">
        <f>IF($B155="","",IFERROR(VLOOKUP($B155,Triggers!$A$5:$C$40,2,FALSE),"— not a listed event"))</f>
        <v/>
      </c>
      <c r="E155" s="40">
        <f>IF($B155="","",IFERROR(VLOOKUP($B155,Triggers!$A$5:$C$40,3,FALSE),""))</f>
        <v/>
      </c>
      <c r="F155" s="17" t="n"/>
      <c r="G155" s="16" t="n"/>
      <c r="H155" s="16" t="n"/>
      <c r="I155" s="15" t="n"/>
    </row>
    <row r="156" ht="30" customHeight="1">
      <c r="A156" s="50" t="n"/>
      <c r="B156" s="46" t="n"/>
      <c r="C156" s="22" t="n"/>
      <c r="D156" s="47">
        <f>IF($B156="","",IFERROR(VLOOKUP($B156,Triggers!$A$5:$C$40,2,FALSE),"— not a listed event"))</f>
        <v/>
      </c>
      <c r="E156" s="47">
        <f>IF($B156="","",IFERROR(VLOOKUP($B156,Triggers!$A$5:$C$40,3,FALSE),""))</f>
        <v/>
      </c>
      <c r="F156" s="24" t="n"/>
      <c r="G156" s="23" t="n"/>
      <c r="H156" s="23" t="n"/>
      <c r="I156" s="22" t="n"/>
    </row>
    <row r="157" ht="30" customHeight="1">
      <c r="A157" s="43" t="n"/>
      <c r="B157" s="28" t="n"/>
      <c r="C157" s="15" t="n"/>
      <c r="D157" s="40">
        <f>IF($B157="","",IFERROR(VLOOKUP($B157,Triggers!$A$5:$C$40,2,FALSE),"— not a listed event"))</f>
        <v/>
      </c>
      <c r="E157" s="40">
        <f>IF($B157="","",IFERROR(VLOOKUP($B157,Triggers!$A$5:$C$40,3,FALSE),""))</f>
        <v/>
      </c>
      <c r="F157" s="17" t="n"/>
      <c r="G157" s="16" t="n"/>
      <c r="H157" s="16" t="n"/>
      <c r="I157" s="15" t="n"/>
    </row>
    <row r="158" ht="30" customHeight="1">
      <c r="A158" s="50" t="n"/>
      <c r="B158" s="46" t="n"/>
      <c r="C158" s="22" t="n"/>
      <c r="D158" s="47">
        <f>IF($B158="","",IFERROR(VLOOKUP($B158,Triggers!$A$5:$C$40,2,FALSE),"— not a listed event"))</f>
        <v/>
      </c>
      <c r="E158" s="47">
        <f>IF($B158="","",IFERROR(VLOOKUP($B158,Triggers!$A$5:$C$40,3,FALSE),""))</f>
        <v/>
      </c>
      <c r="F158" s="24" t="n"/>
      <c r="G158" s="23" t="n"/>
      <c r="H158" s="23" t="n"/>
      <c r="I158" s="22" t="n"/>
    </row>
    <row r="159" ht="30" customHeight="1">
      <c r="A159" s="43" t="n"/>
      <c r="B159" s="28" t="n"/>
      <c r="C159" s="15" t="n"/>
      <c r="D159" s="40">
        <f>IF($B159="","",IFERROR(VLOOKUP($B159,Triggers!$A$5:$C$40,2,FALSE),"— not a listed event"))</f>
        <v/>
      </c>
      <c r="E159" s="40">
        <f>IF($B159="","",IFERROR(VLOOKUP($B159,Triggers!$A$5:$C$40,3,FALSE),""))</f>
        <v/>
      </c>
      <c r="F159" s="17" t="n"/>
      <c r="G159" s="16" t="n"/>
      <c r="H159" s="16" t="n"/>
      <c r="I159" s="15" t="n"/>
    </row>
    <row r="160" ht="30" customHeight="1">
      <c r="A160" s="50" t="n"/>
      <c r="B160" s="46" t="n"/>
      <c r="C160" s="22" t="n"/>
      <c r="D160" s="47">
        <f>IF($B160="","",IFERROR(VLOOKUP($B160,Triggers!$A$5:$C$40,2,FALSE),"— not a listed event"))</f>
        <v/>
      </c>
      <c r="E160" s="47">
        <f>IF($B160="","",IFERROR(VLOOKUP($B160,Triggers!$A$5:$C$40,3,FALSE),""))</f>
        <v/>
      </c>
      <c r="F160" s="24" t="n"/>
      <c r="G160" s="23" t="n"/>
      <c r="H160" s="23" t="n"/>
      <c r="I160" s="22" t="n"/>
    </row>
    <row r="161" ht="30" customHeight="1">
      <c r="A161" s="43" t="n"/>
      <c r="B161" s="28" t="n"/>
      <c r="C161" s="15" t="n"/>
      <c r="D161" s="40">
        <f>IF($B161="","",IFERROR(VLOOKUP($B161,Triggers!$A$5:$C$40,2,FALSE),"— not a listed event"))</f>
        <v/>
      </c>
      <c r="E161" s="40">
        <f>IF($B161="","",IFERROR(VLOOKUP($B161,Triggers!$A$5:$C$40,3,FALSE),""))</f>
        <v/>
      </c>
      <c r="F161" s="17" t="n"/>
      <c r="G161" s="16" t="n"/>
      <c r="H161" s="16" t="n"/>
      <c r="I161" s="15" t="n"/>
    </row>
    <row r="162" ht="30" customHeight="1">
      <c r="A162" s="50" t="n"/>
      <c r="B162" s="46" t="n"/>
      <c r="C162" s="22" t="n"/>
      <c r="D162" s="47">
        <f>IF($B162="","",IFERROR(VLOOKUP($B162,Triggers!$A$5:$C$40,2,FALSE),"— not a listed event"))</f>
        <v/>
      </c>
      <c r="E162" s="47">
        <f>IF($B162="","",IFERROR(VLOOKUP($B162,Triggers!$A$5:$C$40,3,FALSE),""))</f>
        <v/>
      </c>
      <c r="F162" s="24" t="n"/>
      <c r="G162" s="23" t="n"/>
      <c r="H162" s="23" t="n"/>
      <c r="I162" s="22" t="n"/>
    </row>
    <row r="163" ht="30" customHeight="1">
      <c r="A163" s="43" t="n"/>
      <c r="B163" s="28" t="n"/>
      <c r="C163" s="15" t="n"/>
      <c r="D163" s="40">
        <f>IF($B163="","",IFERROR(VLOOKUP($B163,Triggers!$A$5:$C$40,2,FALSE),"— not a listed event"))</f>
        <v/>
      </c>
      <c r="E163" s="40">
        <f>IF($B163="","",IFERROR(VLOOKUP($B163,Triggers!$A$5:$C$40,3,FALSE),""))</f>
        <v/>
      </c>
      <c r="F163" s="17" t="n"/>
      <c r="G163" s="16" t="n"/>
      <c r="H163" s="16" t="n"/>
      <c r="I163" s="15" t="n"/>
    </row>
    <row r="164" ht="30" customHeight="1">
      <c r="A164" s="50" t="n"/>
      <c r="B164" s="46" t="n"/>
      <c r="C164" s="22" t="n"/>
      <c r="D164" s="47">
        <f>IF($B164="","",IFERROR(VLOOKUP($B164,Triggers!$A$5:$C$40,2,FALSE),"— not a listed event"))</f>
        <v/>
      </c>
      <c r="E164" s="47">
        <f>IF($B164="","",IFERROR(VLOOKUP($B164,Triggers!$A$5:$C$40,3,FALSE),""))</f>
        <v/>
      </c>
      <c r="F164" s="24" t="n"/>
      <c r="G164" s="23" t="n"/>
      <c r="H164" s="23" t="n"/>
      <c r="I164" s="22" t="n"/>
    </row>
    <row r="165" ht="30" customHeight="1">
      <c r="A165" s="43" t="n"/>
      <c r="B165" s="28" t="n"/>
      <c r="C165" s="15" t="n"/>
      <c r="D165" s="40">
        <f>IF($B165="","",IFERROR(VLOOKUP($B165,Triggers!$A$5:$C$40,2,FALSE),"— not a listed event"))</f>
        <v/>
      </c>
      <c r="E165" s="40">
        <f>IF($B165="","",IFERROR(VLOOKUP($B165,Triggers!$A$5:$C$40,3,FALSE),""))</f>
        <v/>
      </c>
      <c r="F165" s="17" t="n"/>
      <c r="G165" s="16" t="n"/>
      <c r="H165" s="16" t="n"/>
      <c r="I165" s="15" t="n"/>
    </row>
    <row r="166" ht="30" customHeight="1">
      <c r="A166" s="50" t="n"/>
      <c r="B166" s="46" t="n"/>
      <c r="C166" s="22" t="n"/>
      <c r="D166" s="47">
        <f>IF($B166="","",IFERROR(VLOOKUP($B166,Triggers!$A$5:$C$40,2,FALSE),"— not a listed event"))</f>
        <v/>
      </c>
      <c r="E166" s="47">
        <f>IF($B166="","",IFERROR(VLOOKUP($B166,Triggers!$A$5:$C$40,3,FALSE),""))</f>
        <v/>
      </c>
      <c r="F166" s="24" t="n"/>
      <c r="G166" s="23" t="n"/>
      <c r="H166" s="23" t="n"/>
      <c r="I166" s="22" t="n"/>
    </row>
    <row r="167" ht="30" customHeight="1">
      <c r="A167" s="43" t="n"/>
      <c r="B167" s="28" t="n"/>
      <c r="C167" s="15" t="n"/>
      <c r="D167" s="40">
        <f>IF($B167="","",IFERROR(VLOOKUP($B167,Triggers!$A$5:$C$40,2,FALSE),"— not a listed event"))</f>
        <v/>
      </c>
      <c r="E167" s="40">
        <f>IF($B167="","",IFERROR(VLOOKUP($B167,Triggers!$A$5:$C$40,3,FALSE),""))</f>
        <v/>
      </c>
      <c r="F167" s="17" t="n"/>
      <c r="G167" s="16" t="n"/>
      <c r="H167" s="16" t="n"/>
      <c r="I167" s="15" t="n"/>
    </row>
    <row r="168" ht="30" customHeight="1">
      <c r="A168" s="50" t="n"/>
      <c r="B168" s="46" t="n"/>
      <c r="C168" s="22" t="n"/>
      <c r="D168" s="47">
        <f>IF($B168="","",IFERROR(VLOOKUP($B168,Triggers!$A$5:$C$40,2,FALSE),"— not a listed event"))</f>
        <v/>
      </c>
      <c r="E168" s="47">
        <f>IF($B168="","",IFERROR(VLOOKUP($B168,Triggers!$A$5:$C$40,3,FALSE),""))</f>
        <v/>
      </c>
      <c r="F168" s="24" t="n"/>
      <c r="G168" s="23" t="n"/>
      <c r="H168" s="23" t="n"/>
      <c r="I168" s="22" t="n"/>
    </row>
    <row r="169" ht="30" customHeight="1">
      <c r="A169" s="43" t="n"/>
      <c r="B169" s="28" t="n"/>
      <c r="C169" s="15" t="n"/>
      <c r="D169" s="40">
        <f>IF($B169="","",IFERROR(VLOOKUP($B169,Triggers!$A$5:$C$40,2,FALSE),"— not a listed event"))</f>
        <v/>
      </c>
      <c r="E169" s="40">
        <f>IF($B169="","",IFERROR(VLOOKUP($B169,Triggers!$A$5:$C$40,3,FALSE),""))</f>
        <v/>
      </c>
      <c r="F169" s="17" t="n"/>
      <c r="G169" s="16" t="n"/>
      <c r="H169" s="16" t="n"/>
      <c r="I169" s="15" t="n"/>
    </row>
    <row r="170" ht="30" customHeight="1">
      <c r="A170" s="50" t="n"/>
      <c r="B170" s="46" t="n"/>
      <c r="C170" s="22" t="n"/>
      <c r="D170" s="47">
        <f>IF($B170="","",IFERROR(VLOOKUP($B170,Triggers!$A$5:$C$40,2,FALSE),"— not a listed event"))</f>
        <v/>
      </c>
      <c r="E170" s="47">
        <f>IF($B170="","",IFERROR(VLOOKUP($B170,Triggers!$A$5:$C$40,3,FALSE),""))</f>
        <v/>
      </c>
      <c r="F170" s="24" t="n"/>
      <c r="G170" s="23" t="n"/>
      <c r="H170" s="23" t="n"/>
      <c r="I170" s="22" t="n"/>
    </row>
    <row r="171" ht="30" customHeight="1">
      <c r="A171" s="43" t="n"/>
      <c r="B171" s="28" t="n"/>
      <c r="C171" s="15" t="n"/>
      <c r="D171" s="40">
        <f>IF($B171="","",IFERROR(VLOOKUP($B171,Triggers!$A$5:$C$40,2,FALSE),"— not a listed event"))</f>
        <v/>
      </c>
      <c r="E171" s="40">
        <f>IF($B171="","",IFERROR(VLOOKUP($B171,Triggers!$A$5:$C$40,3,FALSE),""))</f>
        <v/>
      </c>
      <c r="F171" s="17" t="n"/>
      <c r="G171" s="16" t="n"/>
      <c r="H171" s="16" t="n"/>
      <c r="I171" s="15" t="n"/>
    </row>
    <row r="172" ht="30" customHeight="1">
      <c r="A172" s="50" t="n"/>
      <c r="B172" s="46" t="n"/>
      <c r="C172" s="22" t="n"/>
      <c r="D172" s="47">
        <f>IF($B172="","",IFERROR(VLOOKUP($B172,Triggers!$A$5:$C$40,2,FALSE),"— not a listed event"))</f>
        <v/>
      </c>
      <c r="E172" s="47">
        <f>IF($B172="","",IFERROR(VLOOKUP($B172,Triggers!$A$5:$C$40,3,FALSE),""))</f>
        <v/>
      </c>
      <c r="F172" s="24" t="n"/>
      <c r="G172" s="23" t="n"/>
      <c r="H172" s="23" t="n"/>
      <c r="I172" s="22" t="n"/>
    </row>
    <row r="173" ht="30" customHeight="1">
      <c r="A173" s="43" t="n"/>
      <c r="B173" s="28" t="n"/>
      <c r="C173" s="15" t="n"/>
      <c r="D173" s="40">
        <f>IF($B173="","",IFERROR(VLOOKUP($B173,Triggers!$A$5:$C$40,2,FALSE),"— not a listed event"))</f>
        <v/>
      </c>
      <c r="E173" s="40">
        <f>IF($B173="","",IFERROR(VLOOKUP($B173,Triggers!$A$5:$C$40,3,FALSE),""))</f>
        <v/>
      </c>
      <c r="F173" s="17" t="n"/>
      <c r="G173" s="16" t="n"/>
      <c r="H173" s="16" t="n"/>
      <c r="I173" s="15" t="n"/>
    </row>
    <row r="174" ht="30" customHeight="1">
      <c r="A174" s="50" t="n"/>
      <c r="B174" s="46" t="n"/>
      <c r="C174" s="22" t="n"/>
      <c r="D174" s="47">
        <f>IF($B174="","",IFERROR(VLOOKUP($B174,Triggers!$A$5:$C$40,2,FALSE),"— not a listed event"))</f>
        <v/>
      </c>
      <c r="E174" s="47">
        <f>IF($B174="","",IFERROR(VLOOKUP($B174,Triggers!$A$5:$C$40,3,FALSE),""))</f>
        <v/>
      </c>
      <c r="F174" s="24" t="n"/>
      <c r="G174" s="23" t="n"/>
      <c r="H174" s="23" t="n"/>
      <c r="I174" s="22" t="n"/>
    </row>
    <row r="175" ht="30" customHeight="1">
      <c r="A175" s="43" t="n"/>
      <c r="B175" s="28" t="n"/>
      <c r="C175" s="15" t="n"/>
      <c r="D175" s="40">
        <f>IF($B175="","",IFERROR(VLOOKUP($B175,Triggers!$A$5:$C$40,2,FALSE),"— not a listed event"))</f>
        <v/>
      </c>
      <c r="E175" s="40">
        <f>IF($B175="","",IFERROR(VLOOKUP($B175,Triggers!$A$5:$C$40,3,FALSE),""))</f>
        <v/>
      </c>
      <c r="F175" s="17" t="n"/>
      <c r="G175" s="16" t="n"/>
      <c r="H175" s="16" t="n"/>
      <c r="I175" s="15" t="n"/>
    </row>
    <row r="176" ht="30" customHeight="1">
      <c r="A176" s="50" t="n"/>
      <c r="B176" s="46" t="n"/>
      <c r="C176" s="22" t="n"/>
      <c r="D176" s="47">
        <f>IF($B176="","",IFERROR(VLOOKUP($B176,Triggers!$A$5:$C$40,2,FALSE),"— not a listed event"))</f>
        <v/>
      </c>
      <c r="E176" s="47">
        <f>IF($B176="","",IFERROR(VLOOKUP($B176,Triggers!$A$5:$C$40,3,FALSE),""))</f>
        <v/>
      </c>
      <c r="F176" s="24" t="n"/>
      <c r="G176" s="23" t="n"/>
      <c r="H176" s="23" t="n"/>
      <c r="I176" s="22" t="n"/>
    </row>
    <row r="177" ht="30" customHeight="1">
      <c r="A177" s="43" t="n"/>
      <c r="B177" s="28" t="n"/>
      <c r="C177" s="15" t="n"/>
      <c r="D177" s="40">
        <f>IF($B177="","",IFERROR(VLOOKUP($B177,Triggers!$A$5:$C$40,2,FALSE),"— not a listed event"))</f>
        <v/>
      </c>
      <c r="E177" s="40">
        <f>IF($B177="","",IFERROR(VLOOKUP($B177,Triggers!$A$5:$C$40,3,FALSE),""))</f>
        <v/>
      </c>
      <c r="F177" s="17" t="n"/>
      <c r="G177" s="16" t="n"/>
      <c r="H177" s="16" t="n"/>
      <c r="I177" s="15" t="n"/>
    </row>
    <row r="178" ht="30" customHeight="1">
      <c r="A178" s="50" t="n"/>
      <c r="B178" s="46" t="n"/>
      <c r="C178" s="22" t="n"/>
      <c r="D178" s="47">
        <f>IF($B178="","",IFERROR(VLOOKUP($B178,Triggers!$A$5:$C$40,2,FALSE),"— not a listed event"))</f>
        <v/>
      </c>
      <c r="E178" s="47">
        <f>IF($B178="","",IFERROR(VLOOKUP($B178,Triggers!$A$5:$C$40,3,FALSE),""))</f>
        <v/>
      </c>
      <c r="F178" s="24" t="n"/>
      <c r="G178" s="23" t="n"/>
      <c r="H178" s="23" t="n"/>
      <c r="I178" s="22" t="n"/>
    </row>
    <row r="179" ht="30" customHeight="1">
      <c r="A179" s="43" t="n"/>
      <c r="B179" s="28" t="n"/>
      <c r="C179" s="15" t="n"/>
      <c r="D179" s="40">
        <f>IF($B179="","",IFERROR(VLOOKUP($B179,Triggers!$A$5:$C$40,2,FALSE),"— not a listed event"))</f>
        <v/>
      </c>
      <c r="E179" s="40">
        <f>IF($B179="","",IFERROR(VLOOKUP($B179,Triggers!$A$5:$C$40,3,FALSE),""))</f>
        <v/>
      </c>
      <c r="F179" s="17" t="n"/>
      <c r="G179" s="16" t="n"/>
      <c r="H179" s="16" t="n"/>
      <c r="I179" s="15" t="n"/>
    </row>
    <row r="180" ht="30" customHeight="1">
      <c r="A180" s="50" t="n"/>
      <c r="B180" s="46" t="n"/>
      <c r="C180" s="22" t="n"/>
      <c r="D180" s="47">
        <f>IF($B180="","",IFERROR(VLOOKUP($B180,Triggers!$A$5:$C$40,2,FALSE),"— not a listed event"))</f>
        <v/>
      </c>
      <c r="E180" s="47">
        <f>IF($B180="","",IFERROR(VLOOKUP($B180,Triggers!$A$5:$C$40,3,FALSE),""))</f>
        <v/>
      </c>
      <c r="F180" s="24" t="n"/>
      <c r="G180" s="23" t="n"/>
      <c r="H180" s="23" t="n"/>
      <c r="I180" s="22" t="n"/>
    </row>
    <row r="181" ht="30" customHeight="1">
      <c r="A181" s="43" t="n"/>
      <c r="B181" s="28" t="n"/>
      <c r="C181" s="15" t="n"/>
      <c r="D181" s="40">
        <f>IF($B181="","",IFERROR(VLOOKUP($B181,Triggers!$A$5:$C$40,2,FALSE),"— not a listed event"))</f>
        <v/>
      </c>
      <c r="E181" s="40">
        <f>IF($B181="","",IFERROR(VLOOKUP($B181,Triggers!$A$5:$C$40,3,FALSE),""))</f>
        <v/>
      </c>
      <c r="F181" s="17" t="n"/>
      <c r="G181" s="16" t="n"/>
      <c r="H181" s="16" t="n"/>
      <c r="I181" s="15" t="n"/>
    </row>
    <row r="182" ht="30" customHeight="1">
      <c r="A182" s="50" t="n"/>
      <c r="B182" s="46" t="n"/>
      <c r="C182" s="22" t="n"/>
      <c r="D182" s="47">
        <f>IF($B182="","",IFERROR(VLOOKUP($B182,Triggers!$A$5:$C$40,2,FALSE),"— not a listed event"))</f>
        <v/>
      </c>
      <c r="E182" s="47">
        <f>IF($B182="","",IFERROR(VLOOKUP($B182,Triggers!$A$5:$C$40,3,FALSE),""))</f>
        <v/>
      </c>
      <c r="F182" s="24" t="n"/>
      <c r="G182" s="23" t="n"/>
      <c r="H182" s="23" t="n"/>
      <c r="I182" s="22" t="n"/>
    </row>
    <row r="183" ht="30" customHeight="1">
      <c r="A183" s="43" t="n"/>
      <c r="B183" s="28" t="n"/>
      <c r="C183" s="15" t="n"/>
      <c r="D183" s="40">
        <f>IF($B183="","",IFERROR(VLOOKUP($B183,Triggers!$A$5:$C$40,2,FALSE),"— not a listed event"))</f>
        <v/>
      </c>
      <c r="E183" s="40">
        <f>IF($B183="","",IFERROR(VLOOKUP($B183,Triggers!$A$5:$C$40,3,FALSE),""))</f>
        <v/>
      </c>
      <c r="F183" s="17" t="n"/>
      <c r="G183" s="16" t="n"/>
      <c r="H183" s="16" t="n"/>
      <c r="I183" s="15" t="n"/>
    </row>
    <row r="184" ht="30" customHeight="1">
      <c r="A184" s="50" t="n"/>
      <c r="B184" s="46" t="n"/>
      <c r="C184" s="22" t="n"/>
      <c r="D184" s="47">
        <f>IF($B184="","",IFERROR(VLOOKUP($B184,Triggers!$A$5:$C$40,2,FALSE),"— not a listed event"))</f>
        <v/>
      </c>
      <c r="E184" s="47">
        <f>IF($B184="","",IFERROR(VLOOKUP($B184,Triggers!$A$5:$C$40,3,FALSE),""))</f>
        <v/>
      </c>
      <c r="F184" s="24" t="n"/>
      <c r="G184" s="23" t="n"/>
      <c r="H184" s="23" t="n"/>
      <c r="I184" s="22" t="n"/>
    </row>
    <row r="185" ht="30" customHeight="1">
      <c r="A185" s="43" t="n"/>
      <c r="B185" s="28" t="n"/>
      <c r="C185" s="15" t="n"/>
      <c r="D185" s="40">
        <f>IF($B185="","",IFERROR(VLOOKUP($B185,Triggers!$A$5:$C$40,2,FALSE),"— not a listed event"))</f>
        <v/>
      </c>
      <c r="E185" s="40">
        <f>IF($B185="","",IFERROR(VLOOKUP($B185,Triggers!$A$5:$C$40,3,FALSE),""))</f>
        <v/>
      </c>
      <c r="F185" s="17" t="n"/>
      <c r="G185" s="16" t="n"/>
      <c r="H185" s="16" t="n"/>
      <c r="I185" s="15" t="n"/>
    </row>
    <row r="186" ht="30" customHeight="1">
      <c r="A186" s="50" t="n"/>
      <c r="B186" s="46" t="n"/>
      <c r="C186" s="22" t="n"/>
      <c r="D186" s="47">
        <f>IF($B186="","",IFERROR(VLOOKUP($B186,Triggers!$A$5:$C$40,2,FALSE),"— not a listed event"))</f>
        <v/>
      </c>
      <c r="E186" s="47">
        <f>IF($B186="","",IFERROR(VLOOKUP($B186,Triggers!$A$5:$C$40,3,FALSE),""))</f>
        <v/>
      </c>
      <c r="F186" s="24" t="n"/>
      <c r="G186" s="23" t="n"/>
      <c r="H186" s="23" t="n"/>
      <c r="I186" s="22" t="n"/>
    </row>
    <row r="187" ht="30" customHeight="1">
      <c r="A187" s="43" t="n"/>
      <c r="B187" s="28" t="n"/>
      <c r="C187" s="15" t="n"/>
      <c r="D187" s="40">
        <f>IF($B187="","",IFERROR(VLOOKUP($B187,Triggers!$A$5:$C$40,2,FALSE),"— not a listed event"))</f>
        <v/>
      </c>
      <c r="E187" s="40">
        <f>IF($B187="","",IFERROR(VLOOKUP($B187,Triggers!$A$5:$C$40,3,FALSE),""))</f>
        <v/>
      </c>
      <c r="F187" s="17" t="n"/>
      <c r="G187" s="16" t="n"/>
      <c r="H187" s="16" t="n"/>
      <c r="I187" s="15" t="n"/>
    </row>
    <row r="188" ht="30" customHeight="1">
      <c r="A188" s="50" t="n"/>
      <c r="B188" s="46" t="n"/>
      <c r="C188" s="22" t="n"/>
      <c r="D188" s="47">
        <f>IF($B188="","",IFERROR(VLOOKUP($B188,Triggers!$A$5:$C$40,2,FALSE),"— not a listed event"))</f>
        <v/>
      </c>
      <c r="E188" s="47">
        <f>IF($B188="","",IFERROR(VLOOKUP($B188,Triggers!$A$5:$C$40,3,FALSE),""))</f>
        <v/>
      </c>
      <c r="F188" s="24" t="n"/>
      <c r="G188" s="23" t="n"/>
      <c r="H188" s="23" t="n"/>
      <c r="I188" s="22" t="n"/>
    </row>
    <row r="189" ht="30" customHeight="1">
      <c r="A189" s="43" t="n"/>
      <c r="B189" s="28" t="n"/>
      <c r="C189" s="15" t="n"/>
      <c r="D189" s="40">
        <f>IF($B189="","",IFERROR(VLOOKUP($B189,Triggers!$A$5:$C$40,2,FALSE),"— not a listed event"))</f>
        <v/>
      </c>
      <c r="E189" s="40">
        <f>IF($B189="","",IFERROR(VLOOKUP($B189,Triggers!$A$5:$C$40,3,FALSE),""))</f>
        <v/>
      </c>
      <c r="F189" s="17" t="n"/>
      <c r="G189" s="16" t="n"/>
      <c r="H189" s="16" t="n"/>
      <c r="I189" s="15" t="n"/>
    </row>
    <row r="190" ht="30" customHeight="1">
      <c r="A190" s="50" t="n"/>
      <c r="B190" s="46" t="n"/>
      <c r="C190" s="22" t="n"/>
      <c r="D190" s="47">
        <f>IF($B190="","",IFERROR(VLOOKUP($B190,Triggers!$A$5:$C$40,2,FALSE),"— not a listed event"))</f>
        <v/>
      </c>
      <c r="E190" s="47">
        <f>IF($B190="","",IFERROR(VLOOKUP($B190,Triggers!$A$5:$C$40,3,FALSE),""))</f>
        <v/>
      </c>
      <c r="F190" s="24" t="n"/>
      <c r="G190" s="23" t="n"/>
      <c r="H190" s="23" t="n"/>
      <c r="I190" s="22" t="n"/>
    </row>
    <row r="191" ht="30" customHeight="1">
      <c r="A191" s="43" t="n"/>
      <c r="B191" s="28" t="n"/>
      <c r="C191" s="15" t="n"/>
      <c r="D191" s="40">
        <f>IF($B191="","",IFERROR(VLOOKUP($B191,Triggers!$A$5:$C$40,2,FALSE),"— not a listed event"))</f>
        <v/>
      </c>
      <c r="E191" s="40">
        <f>IF($B191="","",IFERROR(VLOOKUP($B191,Triggers!$A$5:$C$40,3,FALSE),""))</f>
        <v/>
      </c>
      <c r="F191" s="17" t="n"/>
      <c r="G191" s="16" t="n"/>
      <c r="H191" s="16" t="n"/>
      <c r="I191" s="15" t="n"/>
    </row>
    <row r="192" ht="30" customHeight="1">
      <c r="A192" s="50" t="n"/>
      <c r="B192" s="46" t="n"/>
      <c r="C192" s="22" t="n"/>
      <c r="D192" s="47">
        <f>IF($B192="","",IFERROR(VLOOKUP($B192,Triggers!$A$5:$C$40,2,FALSE),"— not a listed event"))</f>
        <v/>
      </c>
      <c r="E192" s="47">
        <f>IF($B192="","",IFERROR(VLOOKUP($B192,Triggers!$A$5:$C$40,3,FALSE),""))</f>
        <v/>
      </c>
      <c r="F192" s="24" t="n"/>
      <c r="G192" s="23" t="n"/>
      <c r="H192" s="23" t="n"/>
      <c r="I192" s="22" t="n"/>
    </row>
    <row r="193" ht="30" customHeight="1">
      <c r="A193" s="43" t="n"/>
      <c r="B193" s="28" t="n"/>
      <c r="C193" s="15" t="n"/>
      <c r="D193" s="40">
        <f>IF($B193="","",IFERROR(VLOOKUP($B193,Triggers!$A$5:$C$40,2,FALSE),"— not a listed event"))</f>
        <v/>
      </c>
      <c r="E193" s="40">
        <f>IF($B193="","",IFERROR(VLOOKUP($B193,Triggers!$A$5:$C$40,3,FALSE),""))</f>
        <v/>
      </c>
      <c r="F193" s="17" t="n"/>
      <c r="G193" s="16" t="n"/>
      <c r="H193" s="16" t="n"/>
      <c r="I193" s="15" t="n"/>
    </row>
    <row r="194" ht="30" customHeight="1">
      <c r="A194" s="50" t="n"/>
      <c r="B194" s="46" t="n"/>
      <c r="C194" s="22" t="n"/>
      <c r="D194" s="47">
        <f>IF($B194="","",IFERROR(VLOOKUP($B194,Triggers!$A$5:$C$40,2,FALSE),"— not a listed event"))</f>
        <v/>
      </c>
      <c r="E194" s="47">
        <f>IF($B194="","",IFERROR(VLOOKUP($B194,Triggers!$A$5:$C$40,3,FALSE),""))</f>
        <v/>
      </c>
      <c r="F194" s="24" t="n"/>
      <c r="G194" s="23" t="n"/>
      <c r="H194" s="23" t="n"/>
      <c r="I194" s="22" t="n"/>
    </row>
    <row r="195" ht="30" customHeight="1">
      <c r="A195" s="43" t="n"/>
      <c r="B195" s="28" t="n"/>
      <c r="C195" s="15" t="n"/>
      <c r="D195" s="40">
        <f>IF($B195="","",IFERROR(VLOOKUP($B195,Triggers!$A$5:$C$40,2,FALSE),"— not a listed event"))</f>
        <v/>
      </c>
      <c r="E195" s="40">
        <f>IF($B195="","",IFERROR(VLOOKUP($B195,Triggers!$A$5:$C$40,3,FALSE),""))</f>
        <v/>
      </c>
      <c r="F195" s="17" t="n"/>
      <c r="G195" s="16" t="n"/>
      <c r="H195" s="16" t="n"/>
      <c r="I195" s="15" t="n"/>
    </row>
    <row r="196" ht="30" customHeight="1">
      <c r="A196" s="50" t="n"/>
      <c r="B196" s="46" t="n"/>
      <c r="C196" s="22" t="n"/>
      <c r="D196" s="47">
        <f>IF($B196="","",IFERROR(VLOOKUP($B196,Triggers!$A$5:$C$40,2,FALSE),"— not a listed event"))</f>
        <v/>
      </c>
      <c r="E196" s="47">
        <f>IF($B196="","",IFERROR(VLOOKUP($B196,Triggers!$A$5:$C$40,3,FALSE),""))</f>
        <v/>
      </c>
      <c r="F196" s="24" t="n"/>
      <c r="G196" s="23" t="n"/>
      <c r="H196" s="23" t="n"/>
      <c r="I196" s="22" t="n"/>
    </row>
    <row r="197" ht="30" customHeight="1">
      <c r="A197" s="43" t="n"/>
      <c r="B197" s="28" t="n"/>
      <c r="C197" s="15" t="n"/>
      <c r="D197" s="40">
        <f>IF($B197="","",IFERROR(VLOOKUP($B197,Triggers!$A$5:$C$40,2,FALSE),"— not a listed event"))</f>
        <v/>
      </c>
      <c r="E197" s="40">
        <f>IF($B197="","",IFERROR(VLOOKUP($B197,Triggers!$A$5:$C$40,3,FALSE),""))</f>
        <v/>
      </c>
      <c r="F197" s="17" t="n"/>
      <c r="G197" s="16" t="n"/>
      <c r="H197" s="16" t="n"/>
      <c r="I197" s="15" t="n"/>
    </row>
    <row r="198" ht="30" customHeight="1">
      <c r="A198" s="50" t="n"/>
      <c r="B198" s="46" t="n"/>
      <c r="C198" s="22" t="n"/>
      <c r="D198" s="47">
        <f>IF($B198="","",IFERROR(VLOOKUP($B198,Triggers!$A$5:$C$40,2,FALSE),"— not a listed event"))</f>
        <v/>
      </c>
      <c r="E198" s="47">
        <f>IF($B198="","",IFERROR(VLOOKUP($B198,Triggers!$A$5:$C$40,3,FALSE),""))</f>
        <v/>
      </c>
      <c r="F198" s="24" t="n"/>
      <c r="G198" s="23" t="n"/>
      <c r="H198" s="23" t="n"/>
      <c r="I198" s="22" t="n"/>
    </row>
    <row r="199" ht="30" customHeight="1">
      <c r="A199" s="43" t="n"/>
      <c r="B199" s="28" t="n"/>
      <c r="C199" s="15" t="n"/>
      <c r="D199" s="40">
        <f>IF($B199="","",IFERROR(VLOOKUP($B199,Triggers!$A$5:$C$40,2,FALSE),"— not a listed event"))</f>
        <v/>
      </c>
      <c r="E199" s="40">
        <f>IF($B199="","",IFERROR(VLOOKUP($B199,Triggers!$A$5:$C$40,3,FALSE),""))</f>
        <v/>
      </c>
      <c r="F199" s="17" t="n"/>
      <c r="G199" s="16" t="n"/>
      <c r="H199" s="16" t="n"/>
      <c r="I199" s="15" t="n"/>
    </row>
    <row r="200" ht="30" customHeight="1">
      <c r="A200" s="50" t="n"/>
      <c r="B200" s="46" t="n"/>
      <c r="C200" s="22" t="n"/>
      <c r="D200" s="47">
        <f>IF($B200="","",IFERROR(VLOOKUP($B200,Triggers!$A$5:$C$40,2,FALSE),"— not a listed event"))</f>
        <v/>
      </c>
      <c r="E200" s="47">
        <f>IF($B200="","",IFERROR(VLOOKUP($B200,Triggers!$A$5:$C$40,3,FALSE),""))</f>
        <v/>
      </c>
      <c r="F200" s="24" t="n"/>
      <c r="G200" s="23" t="n"/>
      <c r="H200" s="23" t="n"/>
      <c r="I200" s="22" t="n"/>
    </row>
    <row r="201" ht="30" customHeight="1">
      <c r="A201" s="43" t="n"/>
      <c r="B201" s="28" t="n"/>
      <c r="C201" s="15" t="n"/>
      <c r="D201" s="40">
        <f>IF($B201="","",IFERROR(VLOOKUP($B201,Triggers!$A$5:$C$40,2,FALSE),"— not a listed event"))</f>
        <v/>
      </c>
      <c r="E201" s="40">
        <f>IF($B201="","",IFERROR(VLOOKUP($B201,Triggers!$A$5:$C$40,3,FALSE),""))</f>
        <v/>
      </c>
      <c r="F201" s="17" t="n"/>
      <c r="G201" s="16" t="n"/>
      <c r="H201" s="16" t="n"/>
      <c r="I201" s="15" t="n"/>
    </row>
    <row r="202" ht="30" customHeight="1">
      <c r="A202" s="50" t="n"/>
      <c r="B202" s="46" t="n"/>
      <c r="C202" s="22" t="n"/>
      <c r="D202" s="47">
        <f>IF($B202="","",IFERROR(VLOOKUP($B202,Triggers!$A$5:$C$40,2,FALSE),"— not a listed event"))</f>
        <v/>
      </c>
      <c r="E202" s="47">
        <f>IF($B202="","",IFERROR(VLOOKUP($B202,Triggers!$A$5:$C$40,3,FALSE),""))</f>
        <v/>
      </c>
      <c r="F202" s="24" t="n"/>
      <c r="G202" s="23" t="n"/>
      <c r="H202" s="23" t="n"/>
      <c r="I202" s="22" t="n"/>
    </row>
    <row r="203" ht="30" customHeight="1">
      <c r="A203" s="43" t="n"/>
      <c r="B203" s="28" t="n"/>
      <c r="C203" s="15" t="n"/>
      <c r="D203" s="40">
        <f>IF($B203="","",IFERROR(VLOOKUP($B203,Triggers!$A$5:$C$40,2,FALSE),"— not a listed event"))</f>
        <v/>
      </c>
      <c r="E203" s="40">
        <f>IF($B203="","",IFERROR(VLOOKUP($B203,Triggers!$A$5:$C$40,3,FALSE),""))</f>
        <v/>
      </c>
      <c r="F203" s="17" t="n"/>
      <c r="G203" s="16" t="n"/>
      <c r="H203" s="16" t="n"/>
      <c r="I203" s="15" t="n"/>
    </row>
    <row r="204" ht="30" customHeight="1">
      <c r="A204" s="50" t="n"/>
      <c r="B204" s="46" t="n"/>
      <c r="C204" s="22" t="n"/>
      <c r="D204" s="47">
        <f>IF($B204="","",IFERROR(VLOOKUP($B204,Triggers!$A$5:$C$40,2,FALSE),"— not a listed event"))</f>
        <v/>
      </c>
      <c r="E204" s="47">
        <f>IF($B204="","",IFERROR(VLOOKUP($B204,Triggers!$A$5:$C$40,3,FALSE),""))</f>
        <v/>
      </c>
      <c r="F204" s="24" t="n"/>
      <c r="G204" s="23" t="n"/>
      <c r="H204" s="23" t="n"/>
      <c r="I204" s="22" t="n"/>
    </row>
    <row r="205" ht="30" customHeight="1">
      <c r="A205" s="43" t="n"/>
      <c r="B205" s="28" t="n"/>
      <c r="C205" s="15" t="n"/>
      <c r="D205" s="40">
        <f>IF($B205="","",IFERROR(VLOOKUP($B205,Triggers!$A$5:$C$40,2,FALSE),"— not a listed event"))</f>
        <v/>
      </c>
      <c r="E205" s="40">
        <f>IF($B205="","",IFERROR(VLOOKUP($B205,Triggers!$A$5:$C$40,3,FALSE),""))</f>
        <v/>
      </c>
      <c r="F205" s="17" t="n"/>
      <c r="G205" s="16" t="n"/>
      <c r="H205" s="16" t="n"/>
      <c r="I205" s="15" t="n"/>
    </row>
    <row r="206" ht="30" customHeight="1">
      <c r="A206" s="50" t="n"/>
      <c r="B206" s="46" t="n"/>
      <c r="C206" s="22" t="n"/>
      <c r="D206" s="47">
        <f>IF($B206="","",IFERROR(VLOOKUP($B206,Triggers!$A$5:$C$40,2,FALSE),"— not a listed event"))</f>
        <v/>
      </c>
      <c r="E206" s="47">
        <f>IF($B206="","",IFERROR(VLOOKUP($B206,Triggers!$A$5:$C$40,3,FALSE),""))</f>
        <v/>
      </c>
      <c r="F206" s="24" t="n"/>
      <c r="G206" s="23" t="n"/>
      <c r="H206" s="23" t="n"/>
      <c r="I206" s="22" t="n"/>
    </row>
    <row r="207" ht="30" customHeight="1">
      <c r="A207" s="43" t="n"/>
      <c r="B207" s="28" t="n"/>
      <c r="C207" s="15" t="n"/>
      <c r="D207" s="40">
        <f>IF($B207="","",IFERROR(VLOOKUP($B207,Triggers!$A$5:$C$40,2,FALSE),"— not a listed event"))</f>
        <v/>
      </c>
      <c r="E207" s="40">
        <f>IF($B207="","",IFERROR(VLOOKUP($B207,Triggers!$A$5:$C$40,3,FALSE),""))</f>
        <v/>
      </c>
      <c r="F207" s="17" t="n"/>
      <c r="G207" s="16" t="n"/>
      <c r="H207" s="16" t="n"/>
      <c r="I207" s="15" t="n"/>
    </row>
    <row r="208" ht="30" customHeight="1">
      <c r="A208" s="50" t="n"/>
      <c r="B208" s="46" t="n"/>
      <c r="C208" s="22" t="n"/>
      <c r="D208" s="47">
        <f>IF($B208="","",IFERROR(VLOOKUP($B208,Triggers!$A$5:$C$40,2,FALSE),"— not a listed event"))</f>
        <v/>
      </c>
      <c r="E208" s="47">
        <f>IF($B208="","",IFERROR(VLOOKUP($B208,Triggers!$A$5:$C$40,3,FALSE),""))</f>
        <v/>
      </c>
      <c r="F208" s="24" t="n"/>
      <c r="G208" s="23" t="n"/>
      <c r="H208" s="23" t="n"/>
      <c r="I208" s="22" t="n"/>
    </row>
    <row r="209" ht="30" customHeight="1">
      <c r="A209" s="43" t="n"/>
      <c r="B209" s="28" t="n"/>
      <c r="C209" s="15" t="n"/>
      <c r="D209" s="40">
        <f>IF($B209="","",IFERROR(VLOOKUP($B209,Triggers!$A$5:$C$40,2,FALSE),"— not a listed event"))</f>
        <v/>
      </c>
      <c r="E209" s="40">
        <f>IF($B209="","",IFERROR(VLOOKUP($B209,Triggers!$A$5:$C$40,3,FALSE),""))</f>
        <v/>
      </c>
      <c r="F209" s="17" t="n"/>
      <c r="G209" s="16" t="n"/>
      <c r="H209" s="16" t="n"/>
      <c r="I209" s="15" t="n"/>
    </row>
    <row r="210" ht="30" customHeight="1">
      <c r="A210" s="50" t="n"/>
      <c r="B210" s="46" t="n"/>
      <c r="C210" s="22" t="n"/>
      <c r="D210" s="47">
        <f>IF($B210="","",IFERROR(VLOOKUP($B210,Triggers!$A$5:$C$40,2,FALSE),"— not a listed event"))</f>
        <v/>
      </c>
      <c r="E210" s="47">
        <f>IF($B210="","",IFERROR(VLOOKUP($B210,Triggers!$A$5:$C$40,3,FALSE),""))</f>
        <v/>
      </c>
      <c r="F210" s="24" t="n"/>
      <c r="G210" s="23" t="n"/>
      <c r="H210" s="23" t="n"/>
      <c r="I210" s="22" t="n"/>
    </row>
    <row r="211" ht="30" customHeight="1">
      <c r="A211" s="43" t="n"/>
      <c r="B211" s="28" t="n"/>
      <c r="C211" s="15" t="n"/>
      <c r="D211" s="40">
        <f>IF($B211="","",IFERROR(VLOOKUP($B211,Triggers!$A$5:$C$40,2,FALSE),"— not a listed event"))</f>
        <v/>
      </c>
      <c r="E211" s="40">
        <f>IF($B211="","",IFERROR(VLOOKUP($B211,Triggers!$A$5:$C$40,3,FALSE),""))</f>
        <v/>
      </c>
      <c r="F211" s="17" t="n"/>
      <c r="G211" s="16" t="n"/>
      <c r="H211" s="16" t="n"/>
      <c r="I211" s="15" t="n"/>
    </row>
    <row r="212" ht="30" customHeight="1">
      <c r="A212" s="50" t="n"/>
      <c r="B212" s="46" t="n"/>
      <c r="C212" s="22" t="n"/>
      <c r="D212" s="47">
        <f>IF($B212="","",IFERROR(VLOOKUP($B212,Triggers!$A$5:$C$40,2,FALSE),"— not a listed event"))</f>
        <v/>
      </c>
      <c r="E212" s="47">
        <f>IF($B212="","",IFERROR(VLOOKUP($B212,Triggers!$A$5:$C$40,3,FALSE),""))</f>
        <v/>
      </c>
      <c r="F212" s="24" t="n"/>
      <c r="G212" s="23" t="n"/>
      <c r="H212" s="23" t="n"/>
      <c r="I212" s="22" t="n"/>
    </row>
    <row r="213" ht="30" customHeight="1">
      <c r="A213" s="43" t="n"/>
      <c r="B213" s="28" t="n"/>
      <c r="C213" s="15" t="n"/>
      <c r="D213" s="40">
        <f>IF($B213="","",IFERROR(VLOOKUP($B213,Triggers!$A$5:$C$40,2,FALSE),"— not a listed event"))</f>
        <v/>
      </c>
      <c r="E213" s="40">
        <f>IF($B213="","",IFERROR(VLOOKUP($B213,Triggers!$A$5:$C$40,3,FALSE),""))</f>
        <v/>
      </c>
      <c r="F213" s="17" t="n"/>
      <c r="G213" s="16" t="n"/>
      <c r="H213" s="16" t="n"/>
      <c r="I213" s="15" t="n"/>
    </row>
    <row r="214" ht="30" customHeight="1">
      <c r="A214" s="50" t="n"/>
      <c r="B214" s="46" t="n"/>
      <c r="C214" s="22" t="n"/>
      <c r="D214" s="47">
        <f>IF($B214="","",IFERROR(VLOOKUP($B214,Triggers!$A$5:$C$40,2,FALSE),"— not a listed event"))</f>
        <v/>
      </c>
      <c r="E214" s="47">
        <f>IF($B214="","",IFERROR(VLOOKUP($B214,Triggers!$A$5:$C$40,3,FALSE),""))</f>
        <v/>
      </c>
      <c r="F214" s="24" t="n"/>
      <c r="G214" s="23" t="n"/>
      <c r="H214" s="23" t="n"/>
      <c r="I214" s="22" t="n"/>
    </row>
    <row r="215" ht="30" customHeight="1">
      <c r="A215" s="43" t="n"/>
      <c r="B215" s="28" t="n"/>
      <c r="C215" s="15" t="n"/>
      <c r="D215" s="40">
        <f>IF($B215="","",IFERROR(VLOOKUP($B215,Triggers!$A$5:$C$40,2,FALSE),"— not a listed event"))</f>
        <v/>
      </c>
      <c r="E215" s="40">
        <f>IF($B215="","",IFERROR(VLOOKUP($B215,Triggers!$A$5:$C$40,3,FALSE),""))</f>
        <v/>
      </c>
      <c r="F215" s="17" t="n"/>
      <c r="G215" s="16" t="n"/>
      <c r="H215" s="16" t="n"/>
      <c r="I215" s="15" t="n"/>
    </row>
    <row r="216" ht="30" customHeight="1">
      <c r="A216" s="50" t="n"/>
      <c r="B216" s="46" t="n"/>
      <c r="C216" s="22" t="n"/>
      <c r="D216" s="47">
        <f>IF($B216="","",IFERROR(VLOOKUP($B216,Triggers!$A$5:$C$40,2,FALSE),"— not a listed event"))</f>
        <v/>
      </c>
      <c r="E216" s="47">
        <f>IF($B216="","",IFERROR(VLOOKUP($B216,Triggers!$A$5:$C$40,3,FALSE),""))</f>
        <v/>
      </c>
      <c r="F216" s="24" t="n"/>
      <c r="G216" s="23" t="n"/>
      <c r="H216" s="23" t="n"/>
      <c r="I216" s="22" t="n"/>
    </row>
    <row r="217" ht="30" customHeight="1">
      <c r="A217" s="43" t="n"/>
      <c r="B217" s="28" t="n"/>
      <c r="C217" s="15" t="n"/>
      <c r="D217" s="40">
        <f>IF($B217="","",IFERROR(VLOOKUP($B217,Triggers!$A$5:$C$40,2,FALSE),"— not a listed event"))</f>
        <v/>
      </c>
      <c r="E217" s="40">
        <f>IF($B217="","",IFERROR(VLOOKUP($B217,Triggers!$A$5:$C$40,3,FALSE),""))</f>
        <v/>
      </c>
      <c r="F217" s="17" t="n"/>
      <c r="G217" s="16" t="n"/>
      <c r="H217" s="16" t="n"/>
      <c r="I217" s="15" t="n"/>
    </row>
    <row r="218" ht="30" customHeight="1">
      <c r="A218" s="50" t="n"/>
      <c r="B218" s="46" t="n"/>
      <c r="C218" s="22" t="n"/>
      <c r="D218" s="47">
        <f>IF($B218="","",IFERROR(VLOOKUP($B218,Triggers!$A$5:$C$40,2,FALSE),"— not a listed event"))</f>
        <v/>
      </c>
      <c r="E218" s="47">
        <f>IF($B218="","",IFERROR(VLOOKUP($B218,Triggers!$A$5:$C$40,3,FALSE),""))</f>
        <v/>
      </c>
      <c r="F218" s="24" t="n"/>
      <c r="G218" s="23" t="n"/>
      <c r="H218" s="23" t="n"/>
      <c r="I218" s="22" t="n"/>
    </row>
    <row r="219" ht="30" customHeight="1">
      <c r="A219" s="43" t="n"/>
      <c r="B219" s="28" t="n"/>
      <c r="C219" s="15" t="n"/>
      <c r="D219" s="40">
        <f>IF($B219="","",IFERROR(VLOOKUP($B219,Triggers!$A$5:$C$40,2,FALSE),"— not a listed event"))</f>
        <v/>
      </c>
      <c r="E219" s="40">
        <f>IF($B219="","",IFERROR(VLOOKUP($B219,Triggers!$A$5:$C$40,3,FALSE),""))</f>
        <v/>
      </c>
      <c r="F219" s="17" t="n"/>
      <c r="G219" s="16" t="n"/>
      <c r="H219" s="16" t="n"/>
      <c r="I219" s="15" t="n"/>
    </row>
    <row r="220" ht="30" customHeight="1">
      <c r="A220" s="50" t="n"/>
      <c r="B220" s="46" t="n"/>
      <c r="C220" s="22" t="n"/>
      <c r="D220" s="47">
        <f>IF($B220="","",IFERROR(VLOOKUP($B220,Triggers!$A$5:$C$40,2,FALSE),"— not a listed event"))</f>
        <v/>
      </c>
      <c r="E220" s="47">
        <f>IF($B220="","",IFERROR(VLOOKUP($B220,Triggers!$A$5:$C$40,3,FALSE),""))</f>
        <v/>
      </c>
      <c r="F220" s="24" t="n"/>
      <c r="G220" s="23" t="n"/>
      <c r="H220" s="23" t="n"/>
      <c r="I220" s="22" t="n"/>
    </row>
    <row r="221" ht="30" customHeight="1">
      <c r="A221" s="43" t="n"/>
      <c r="B221" s="28" t="n"/>
      <c r="C221" s="15" t="n"/>
      <c r="D221" s="40">
        <f>IF($B221="","",IFERROR(VLOOKUP($B221,Triggers!$A$5:$C$40,2,FALSE),"— not a listed event"))</f>
        <v/>
      </c>
      <c r="E221" s="40">
        <f>IF($B221="","",IFERROR(VLOOKUP($B221,Triggers!$A$5:$C$40,3,FALSE),""))</f>
        <v/>
      </c>
      <c r="F221" s="17" t="n"/>
      <c r="G221" s="16" t="n"/>
      <c r="H221" s="16" t="n"/>
      <c r="I221" s="15" t="n"/>
    </row>
    <row r="222" ht="30" customHeight="1">
      <c r="A222" s="50" t="n"/>
      <c r="B222" s="46" t="n"/>
      <c r="C222" s="22" t="n"/>
      <c r="D222" s="47">
        <f>IF($B222="","",IFERROR(VLOOKUP($B222,Triggers!$A$5:$C$40,2,FALSE),"— not a listed event"))</f>
        <v/>
      </c>
      <c r="E222" s="47">
        <f>IF($B222="","",IFERROR(VLOOKUP($B222,Triggers!$A$5:$C$40,3,FALSE),""))</f>
        <v/>
      </c>
      <c r="F222" s="24" t="n"/>
      <c r="G222" s="23" t="n"/>
      <c r="H222" s="23" t="n"/>
      <c r="I222" s="22" t="n"/>
    </row>
    <row r="223" ht="30" customHeight="1">
      <c r="A223" s="43" t="n"/>
      <c r="B223" s="28" t="n"/>
      <c r="C223" s="15" t="n"/>
      <c r="D223" s="40">
        <f>IF($B223="","",IFERROR(VLOOKUP($B223,Triggers!$A$5:$C$40,2,FALSE),"— not a listed event"))</f>
        <v/>
      </c>
      <c r="E223" s="40">
        <f>IF($B223="","",IFERROR(VLOOKUP($B223,Triggers!$A$5:$C$40,3,FALSE),""))</f>
        <v/>
      </c>
      <c r="F223" s="17" t="n"/>
      <c r="G223" s="16" t="n"/>
      <c r="H223" s="16" t="n"/>
      <c r="I223" s="15" t="n"/>
    </row>
    <row r="224" ht="30" customHeight="1">
      <c r="A224" s="50" t="n"/>
      <c r="B224" s="46" t="n"/>
      <c r="C224" s="22" t="n"/>
      <c r="D224" s="47">
        <f>IF($B224="","",IFERROR(VLOOKUP($B224,Triggers!$A$5:$C$40,2,FALSE),"— not a listed event"))</f>
        <v/>
      </c>
      <c r="E224" s="47">
        <f>IF($B224="","",IFERROR(VLOOKUP($B224,Triggers!$A$5:$C$40,3,FALSE),""))</f>
        <v/>
      </c>
      <c r="F224" s="24" t="n"/>
      <c r="G224" s="23" t="n"/>
      <c r="H224" s="23" t="n"/>
      <c r="I224" s="22" t="n"/>
    </row>
    <row r="225" ht="30" customHeight="1">
      <c r="A225" s="43" t="n"/>
      <c r="B225" s="28" t="n"/>
      <c r="C225" s="15" t="n"/>
      <c r="D225" s="40">
        <f>IF($B225="","",IFERROR(VLOOKUP($B225,Triggers!$A$5:$C$40,2,FALSE),"— not a listed event"))</f>
        <v/>
      </c>
      <c r="E225" s="40">
        <f>IF($B225="","",IFERROR(VLOOKUP($B225,Triggers!$A$5:$C$40,3,FALSE),""))</f>
        <v/>
      </c>
      <c r="F225" s="17" t="n"/>
      <c r="G225" s="16" t="n"/>
      <c r="H225" s="16" t="n"/>
      <c r="I225" s="15" t="n"/>
    </row>
    <row r="226" ht="30" customHeight="1">
      <c r="A226" s="50" t="n"/>
      <c r="B226" s="46" t="n"/>
      <c r="C226" s="22" t="n"/>
      <c r="D226" s="47">
        <f>IF($B226="","",IFERROR(VLOOKUP($B226,Triggers!$A$5:$C$40,2,FALSE),"— not a listed event"))</f>
        <v/>
      </c>
      <c r="E226" s="47">
        <f>IF($B226="","",IFERROR(VLOOKUP($B226,Triggers!$A$5:$C$40,3,FALSE),""))</f>
        <v/>
      </c>
      <c r="F226" s="24" t="n"/>
      <c r="G226" s="23" t="n"/>
      <c r="H226" s="23" t="n"/>
      <c r="I226" s="22" t="n"/>
    </row>
    <row r="227" ht="30" customHeight="1">
      <c r="A227" s="43" t="n"/>
      <c r="B227" s="28" t="n"/>
      <c r="C227" s="15" t="n"/>
      <c r="D227" s="40">
        <f>IF($B227="","",IFERROR(VLOOKUP($B227,Triggers!$A$5:$C$40,2,FALSE),"— not a listed event"))</f>
        <v/>
      </c>
      <c r="E227" s="40">
        <f>IF($B227="","",IFERROR(VLOOKUP($B227,Triggers!$A$5:$C$40,3,FALSE),""))</f>
        <v/>
      </c>
      <c r="F227" s="17" t="n"/>
      <c r="G227" s="16" t="n"/>
      <c r="H227" s="16" t="n"/>
      <c r="I227" s="15" t="n"/>
    </row>
    <row r="228" ht="30" customHeight="1">
      <c r="A228" s="50" t="n"/>
      <c r="B228" s="46" t="n"/>
      <c r="C228" s="22" t="n"/>
      <c r="D228" s="47">
        <f>IF($B228="","",IFERROR(VLOOKUP($B228,Triggers!$A$5:$C$40,2,FALSE),"— not a listed event"))</f>
        <v/>
      </c>
      <c r="E228" s="47">
        <f>IF($B228="","",IFERROR(VLOOKUP($B228,Triggers!$A$5:$C$40,3,FALSE),""))</f>
        <v/>
      </c>
      <c r="F228" s="24" t="n"/>
      <c r="G228" s="23" t="n"/>
      <c r="H228" s="23" t="n"/>
      <c r="I228" s="22" t="n"/>
    </row>
    <row r="229" ht="30" customHeight="1">
      <c r="A229" s="43" t="n"/>
      <c r="B229" s="28" t="n"/>
      <c r="C229" s="15" t="n"/>
      <c r="D229" s="40">
        <f>IF($B229="","",IFERROR(VLOOKUP($B229,Triggers!$A$5:$C$40,2,FALSE),"— not a listed event"))</f>
        <v/>
      </c>
      <c r="E229" s="40">
        <f>IF($B229="","",IFERROR(VLOOKUP($B229,Triggers!$A$5:$C$40,3,FALSE),""))</f>
        <v/>
      </c>
      <c r="F229" s="17" t="n"/>
      <c r="G229" s="16" t="n"/>
      <c r="H229" s="16" t="n"/>
      <c r="I229" s="15" t="n"/>
    </row>
    <row r="230" ht="30" customHeight="1">
      <c r="A230" s="50" t="n"/>
      <c r="B230" s="46" t="n"/>
      <c r="C230" s="22" t="n"/>
      <c r="D230" s="47">
        <f>IF($B230="","",IFERROR(VLOOKUP($B230,Triggers!$A$5:$C$40,2,FALSE),"— not a listed event"))</f>
        <v/>
      </c>
      <c r="E230" s="47">
        <f>IF($B230="","",IFERROR(VLOOKUP($B230,Triggers!$A$5:$C$40,3,FALSE),""))</f>
        <v/>
      </c>
      <c r="F230" s="24" t="n"/>
      <c r="G230" s="23" t="n"/>
      <c r="H230" s="23" t="n"/>
      <c r="I230" s="22" t="n"/>
    </row>
    <row r="231" ht="30" customHeight="1">
      <c r="A231" s="43" t="n"/>
      <c r="B231" s="28" t="n"/>
      <c r="C231" s="15" t="n"/>
      <c r="D231" s="40">
        <f>IF($B231="","",IFERROR(VLOOKUP($B231,Triggers!$A$5:$C$40,2,FALSE),"— not a listed event"))</f>
        <v/>
      </c>
      <c r="E231" s="40">
        <f>IF($B231="","",IFERROR(VLOOKUP($B231,Triggers!$A$5:$C$40,3,FALSE),""))</f>
        <v/>
      </c>
      <c r="F231" s="17" t="n"/>
      <c r="G231" s="16" t="n"/>
      <c r="H231" s="16" t="n"/>
      <c r="I231" s="15" t="n"/>
    </row>
    <row r="232" ht="30" customHeight="1">
      <c r="A232" s="50" t="n"/>
      <c r="B232" s="46" t="n"/>
      <c r="C232" s="22" t="n"/>
      <c r="D232" s="47">
        <f>IF($B232="","",IFERROR(VLOOKUP($B232,Triggers!$A$5:$C$40,2,FALSE),"— not a listed event"))</f>
        <v/>
      </c>
      <c r="E232" s="47">
        <f>IF($B232="","",IFERROR(VLOOKUP($B232,Triggers!$A$5:$C$40,3,FALSE),""))</f>
        <v/>
      </c>
      <c r="F232" s="24" t="n"/>
      <c r="G232" s="23" t="n"/>
      <c r="H232" s="23" t="n"/>
      <c r="I232" s="22" t="n"/>
    </row>
    <row r="233" ht="30" customHeight="1">
      <c r="A233" s="43" t="n"/>
      <c r="B233" s="28" t="n"/>
      <c r="C233" s="15" t="n"/>
      <c r="D233" s="40">
        <f>IF($B233="","",IFERROR(VLOOKUP($B233,Triggers!$A$5:$C$40,2,FALSE),"— not a listed event"))</f>
        <v/>
      </c>
      <c r="E233" s="40">
        <f>IF($B233="","",IFERROR(VLOOKUP($B233,Triggers!$A$5:$C$40,3,FALSE),""))</f>
        <v/>
      </c>
      <c r="F233" s="17" t="n"/>
      <c r="G233" s="16" t="n"/>
      <c r="H233" s="16" t="n"/>
      <c r="I233" s="15" t="n"/>
    </row>
    <row r="234" ht="30" customHeight="1">
      <c r="A234" s="50" t="n"/>
      <c r="B234" s="46" t="n"/>
      <c r="C234" s="22" t="n"/>
      <c r="D234" s="47">
        <f>IF($B234="","",IFERROR(VLOOKUP($B234,Triggers!$A$5:$C$40,2,FALSE),"— not a listed event"))</f>
        <v/>
      </c>
      <c r="E234" s="47">
        <f>IF($B234="","",IFERROR(VLOOKUP($B234,Triggers!$A$5:$C$40,3,FALSE),""))</f>
        <v/>
      </c>
      <c r="F234" s="24" t="n"/>
      <c r="G234" s="23" t="n"/>
      <c r="H234" s="23" t="n"/>
      <c r="I234" s="22" t="n"/>
    </row>
    <row r="235" ht="30" customHeight="1">
      <c r="A235" s="43" t="n"/>
      <c r="B235" s="28" t="n"/>
      <c r="C235" s="15" t="n"/>
      <c r="D235" s="40">
        <f>IF($B235="","",IFERROR(VLOOKUP($B235,Triggers!$A$5:$C$40,2,FALSE),"— not a listed event"))</f>
        <v/>
      </c>
      <c r="E235" s="40">
        <f>IF($B235="","",IFERROR(VLOOKUP($B235,Triggers!$A$5:$C$40,3,FALSE),""))</f>
        <v/>
      </c>
      <c r="F235" s="17" t="n"/>
      <c r="G235" s="16" t="n"/>
      <c r="H235" s="16" t="n"/>
      <c r="I235" s="15" t="n"/>
    </row>
    <row r="236" ht="30" customHeight="1">
      <c r="A236" s="50" t="n"/>
      <c r="B236" s="46" t="n"/>
      <c r="C236" s="22" t="n"/>
      <c r="D236" s="47">
        <f>IF($B236="","",IFERROR(VLOOKUP($B236,Triggers!$A$5:$C$40,2,FALSE),"— not a listed event"))</f>
        <v/>
      </c>
      <c r="E236" s="47">
        <f>IF($B236="","",IFERROR(VLOOKUP($B236,Triggers!$A$5:$C$40,3,FALSE),""))</f>
        <v/>
      </c>
      <c r="F236" s="24" t="n"/>
      <c r="G236" s="23" t="n"/>
      <c r="H236" s="23" t="n"/>
      <c r="I236" s="22" t="n"/>
    </row>
    <row r="237" ht="30" customHeight="1">
      <c r="A237" s="43" t="n"/>
      <c r="B237" s="28" t="n"/>
      <c r="C237" s="15" t="n"/>
      <c r="D237" s="40">
        <f>IF($B237="","",IFERROR(VLOOKUP($B237,Triggers!$A$5:$C$40,2,FALSE),"— not a listed event"))</f>
        <v/>
      </c>
      <c r="E237" s="40">
        <f>IF($B237="","",IFERROR(VLOOKUP($B237,Triggers!$A$5:$C$40,3,FALSE),""))</f>
        <v/>
      </c>
      <c r="F237" s="17" t="n"/>
      <c r="G237" s="16" t="n"/>
      <c r="H237" s="16" t="n"/>
      <c r="I237" s="15" t="n"/>
    </row>
    <row r="238" ht="30" customHeight="1">
      <c r="A238" s="50" t="n"/>
      <c r="B238" s="46" t="n"/>
      <c r="C238" s="22" t="n"/>
      <c r="D238" s="47">
        <f>IF($B238="","",IFERROR(VLOOKUP($B238,Triggers!$A$5:$C$40,2,FALSE),"— not a listed event"))</f>
        <v/>
      </c>
      <c r="E238" s="47">
        <f>IF($B238="","",IFERROR(VLOOKUP($B238,Triggers!$A$5:$C$40,3,FALSE),""))</f>
        <v/>
      </c>
      <c r="F238" s="24" t="n"/>
      <c r="G238" s="23" t="n"/>
      <c r="H238" s="23" t="n"/>
      <c r="I238" s="22" t="n"/>
    </row>
    <row r="239" ht="30" customHeight="1">
      <c r="A239" s="43" t="n"/>
      <c r="B239" s="28" t="n"/>
      <c r="C239" s="15" t="n"/>
      <c r="D239" s="40">
        <f>IF($B239="","",IFERROR(VLOOKUP($B239,Triggers!$A$5:$C$40,2,FALSE),"— not a listed event"))</f>
        <v/>
      </c>
      <c r="E239" s="40">
        <f>IF($B239="","",IFERROR(VLOOKUP($B239,Triggers!$A$5:$C$40,3,FALSE),""))</f>
        <v/>
      </c>
      <c r="F239" s="17" t="n"/>
      <c r="G239" s="16" t="n"/>
      <c r="H239" s="16" t="n"/>
      <c r="I239" s="15" t="n"/>
    </row>
    <row r="240" ht="30" customHeight="1">
      <c r="A240" s="50" t="n"/>
      <c r="B240" s="46" t="n"/>
      <c r="C240" s="22" t="n"/>
      <c r="D240" s="47">
        <f>IF($B240="","",IFERROR(VLOOKUP($B240,Triggers!$A$5:$C$40,2,FALSE),"— not a listed event"))</f>
        <v/>
      </c>
      <c r="E240" s="47">
        <f>IF($B240="","",IFERROR(VLOOKUP($B240,Triggers!$A$5:$C$40,3,FALSE),""))</f>
        <v/>
      </c>
      <c r="F240" s="24" t="n"/>
      <c r="G240" s="23" t="n"/>
      <c r="H240" s="23" t="n"/>
      <c r="I240" s="22" t="n"/>
    </row>
    <row r="241" ht="30" customHeight="1">
      <c r="A241" s="43" t="n"/>
      <c r="B241" s="28" t="n"/>
      <c r="C241" s="15" t="n"/>
      <c r="D241" s="40">
        <f>IF($B241="","",IFERROR(VLOOKUP($B241,Triggers!$A$5:$C$40,2,FALSE),"— not a listed event"))</f>
        <v/>
      </c>
      <c r="E241" s="40">
        <f>IF($B241="","",IFERROR(VLOOKUP($B241,Triggers!$A$5:$C$40,3,FALSE),""))</f>
        <v/>
      </c>
      <c r="F241" s="17" t="n"/>
      <c r="G241" s="16" t="n"/>
      <c r="H241" s="16" t="n"/>
      <c r="I241" s="15" t="n"/>
    </row>
    <row r="242" ht="30" customHeight="1">
      <c r="A242" s="50" t="n"/>
      <c r="B242" s="46" t="n"/>
      <c r="C242" s="22" t="n"/>
      <c r="D242" s="47">
        <f>IF($B242="","",IFERROR(VLOOKUP($B242,Triggers!$A$5:$C$40,2,FALSE),"— not a listed event"))</f>
        <v/>
      </c>
      <c r="E242" s="47">
        <f>IF($B242="","",IFERROR(VLOOKUP($B242,Triggers!$A$5:$C$40,3,FALSE),""))</f>
        <v/>
      </c>
      <c r="F242" s="24" t="n"/>
      <c r="G242" s="23" t="n"/>
      <c r="H242" s="23" t="n"/>
      <c r="I242" s="22" t="n"/>
    </row>
    <row r="243" ht="30" customHeight="1">
      <c r="A243" s="43" t="n"/>
      <c r="B243" s="28" t="n"/>
      <c r="C243" s="15" t="n"/>
      <c r="D243" s="40">
        <f>IF($B243="","",IFERROR(VLOOKUP($B243,Triggers!$A$5:$C$40,2,FALSE),"— not a listed event"))</f>
        <v/>
      </c>
      <c r="E243" s="40">
        <f>IF($B243="","",IFERROR(VLOOKUP($B243,Triggers!$A$5:$C$40,3,FALSE),""))</f>
        <v/>
      </c>
      <c r="F243" s="17" t="n"/>
      <c r="G243" s="16" t="n"/>
      <c r="H243" s="16" t="n"/>
      <c r="I243" s="15" t="n"/>
    </row>
    <row r="244" ht="30" customHeight="1">
      <c r="A244" s="50" t="n"/>
      <c r="B244" s="46" t="n"/>
      <c r="C244" s="22" t="n"/>
      <c r="D244" s="47">
        <f>IF($B244="","",IFERROR(VLOOKUP($B244,Triggers!$A$5:$C$40,2,FALSE),"— not a listed event"))</f>
        <v/>
      </c>
      <c r="E244" s="47">
        <f>IF($B244="","",IFERROR(VLOOKUP($B244,Triggers!$A$5:$C$40,3,FALSE),""))</f>
        <v/>
      </c>
      <c r="F244" s="24" t="n"/>
      <c r="G244" s="23" t="n"/>
      <c r="H244" s="23" t="n"/>
      <c r="I244" s="22" t="n"/>
    </row>
    <row r="245" ht="30" customHeight="1">
      <c r="A245" s="43" t="n"/>
      <c r="B245" s="28" t="n"/>
      <c r="C245" s="15" t="n"/>
      <c r="D245" s="40">
        <f>IF($B245="","",IFERROR(VLOOKUP($B245,Triggers!$A$5:$C$40,2,FALSE),"— not a listed event"))</f>
        <v/>
      </c>
      <c r="E245" s="40">
        <f>IF($B245="","",IFERROR(VLOOKUP($B245,Triggers!$A$5:$C$40,3,FALSE),""))</f>
        <v/>
      </c>
      <c r="F245" s="17" t="n"/>
      <c r="G245" s="16" t="n"/>
      <c r="H245" s="16" t="n"/>
      <c r="I245" s="15" t="n"/>
    </row>
    <row r="246" ht="30" customHeight="1">
      <c r="A246" s="50" t="n"/>
      <c r="B246" s="46" t="n"/>
      <c r="C246" s="22" t="n"/>
      <c r="D246" s="47">
        <f>IF($B246="","",IFERROR(VLOOKUP($B246,Triggers!$A$5:$C$40,2,FALSE),"— not a listed event"))</f>
        <v/>
      </c>
      <c r="E246" s="47">
        <f>IF($B246="","",IFERROR(VLOOKUP($B246,Triggers!$A$5:$C$40,3,FALSE),""))</f>
        <v/>
      </c>
      <c r="F246" s="24" t="n"/>
      <c r="G246" s="23" t="n"/>
      <c r="H246" s="23" t="n"/>
      <c r="I246" s="22" t="n"/>
    </row>
    <row r="247" ht="30" customHeight="1">
      <c r="A247" s="43" t="n"/>
      <c r="B247" s="28" t="n"/>
      <c r="C247" s="15" t="n"/>
      <c r="D247" s="40">
        <f>IF($B247="","",IFERROR(VLOOKUP($B247,Triggers!$A$5:$C$40,2,FALSE),"— not a listed event"))</f>
        <v/>
      </c>
      <c r="E247" s="40">
        <f>IF($B247="","",IFERROR(VLOOKUP($B247,Triggers!$A$5:$C$40,3,FALSE),""))</f>
        <v/>
      </c>
      <c r="F247" s="17" t="n"/>
      <c r="G247" s="16" t="n"/>
      <c r="H247" s="16" t="n"/>
      <c r="I247" s="15" t="n"/>
    </row>
    <row r="248" ht="30" customHeight="1">
      <c r="A248" s="50" t="n"/>
      <c r="B248" s="46" t="n"/>
      <c r="C248" s="22" t="n"/>
      <c r="D248" s="47">
        <f>IF($B248="","",IFERROR(VLOOKUP($B248,Triggers!$A$5:$C$40,2,FALSE),"— not a listed event"))</f>
        <v/>
      </c>
      <c r="E248" s="47">
        <f>IF($B248="","",IFERROR(VLOOKUP($B248,Triggers!$A$5:$C$40,3,FALSE),""))</f>
        <v/>
      </c>
      <c r="F248" s="24" t="n"/>
      <c r="G248" s="23" t="n"/>
      <c r="H248" s="23" t="n"/>
      <c r="I248" s="22" t="n"/>
    </row>
    <row r="249" ht="30" customHeight="1">
      <c r="A249" s="43" t="n"/>
      <c r="B249" s="28" t="n"/>
      <c r="C249" s="15" t="n"/>
      <c r="D249" s="40">
        <f>IF($B249="","",IFERROR(VLOOKUP($B249,Triggers!$A$5:$C$40,2,FALSE),"— not a listed event"))</f>
        <v/>
      </c>
      <c r="E249" s="40">
        <f>IF($B249="","",IFERROR(VLOOKUP($B249,Triggers!$A$5:$C$40,3,FALSE),""))</f>
        <v/>
      </c>
      <c r="F249" s="17" t="n"/>
      <c r="G249" s="16" t="n"/>
      <c r="H249" s="16" t="n"/>
      <c r="I249" s="15" t="n"/>
    </row>
    <row r="250" ht="30" customHeight="1">
      <c r="A250" s="50" t="n"/>
      <c r="B250" s="46" t="n"/>
      <c r="C250" s="22" t="n"/>
      <c r="D250" s="47">
        <f>IF($B250="","",IFERROR(VLOOKUP($B250,Triggers!$A$5:$C$40,2,FALSE),"— not a listed event"))</f>
        <v/>
      </c>
      <c r="E250" s="47">
        <f>IF($B250="","",IFERROR(VLOOKUP($B250,Triggers!$A$5:$C$40,3,FALSE),""))</f>
        <v/>
      </c>
      <c r="F250" s="24" t="n"/>
      <c r="G250" s="23" t="n"/>
      <c r="H250" s="23" t="n"/>
      <c r="I250" s="22" t="n"/>
    </row>
    <row r="251" ht="30" customHeight="1">
      <c r="A251" s="43" t="n"/>
      <c r="B251" s="28" t="n"/>
      <c r="C251" s="15" t="n"/>
      <c r="D251" s="40">
        <f>IF($B251="","",IFERROR(VLOOKUP($B251,Triggers!$A$5:$C$40,2,FALSE),"— not a listed event"))</f>
        <v/>
      </c>
      <c r="E251" s="40">
        <f>IF($B251="","",IFERROR(VLOOKUP($B251,Triggers!$A$5:$C$40,3,FALSE),""))</f>
        <v/>
      </c>
      <c r="F251" s="17" t="n"/>
      <c r="G251" s="16" t="n"/>
      <c r="H251" s="16" t="n"/>
      <c r="I251" s="15" t="n"/>
    </row>
    <row r="252" ht="30" customHeight="1">
      <c r="A252" s="50" t="n"/>
      <c r="B252" s="46" t="n"/>
      <c r="C252" s="22" t="n"/>
      <c r="D252" s="47">
        <f>IF($B252="","",IFERROR(VLOOKUP($B252,Triggers!$A$5:$C$40,2,FALSE),"— not a listed event"))</f>
        <v/>
      </c>
      <c r="E252" s="47">
        <f>IF($B252="","",IFERROR(VLOOKUP($B252,Triggers!$A$5:$C$40,3,FALSE),""))</f>
        <v/>
      </c>
      <c r="F252" s="24" t="n"/>
      <c r="G252" s="23" t="n"/>
      <c r="H252" s="23" t="n"/>
      <c r="I252" s="22" t="n"/>
    </row>
    <row r="253" ht="30" customHeight="1">
      <c r="A253" s="43" t="n"/>
      <c r="B253" s="28" t="n"/>
      <c r="C253" s="15" t="n"/>
      <c r="D253" s="40">
        <f>IF($B253="","",IFERROR(VLOOKUP($B253,Triggers!$A$5:$C$40,2,FALSE),"— not a listed event"))</f>
        <v/>
      </c>
      <c r="E253" s="40">
        <f>IF($B253="","",IFERROR(VLOOKUP($B253,Triggers!$A$5:$C$40,3,FALSE),""))</f>
        <v/>
      </c>
      <c r="F253" s="17" t="n"/>
      <c r="G253" s="16" t="n"/>
      <c r="H253" s="16" t="n"/>
      <c r="I253" s="15" t="n"/>
    </row>
    <row r="254" ht="30" customHeight="1">
      <c r="A254" s="50" t="n"/>
      <c r="B254" s="46" t="n"/>
      <c r="C254" s="22" t="n"/>
      <c r="D254" s="47">
        <f>IF($B254="","",IFERROR(VLOOKUP($B254,Triggers!$A$5:$C$40,2,FALSE),"— not a listed event"))</f>
        <v/>
      </c>
      <c r="E254" s="47">
        <f>IF($B254="","",IFERROR(VLOOKUP($B254,Triggers!$A$5:$C$40,3,FALSE),""))</f>
        <v/>
      </c>
      <c r="F254" s="24" t="n"/>
      <c r="G254" s="23" t="n"/>
      <c r="H254" s="23" t="n"/>
      <c r="I254" s="22" t="n"/>
    </row>
    <row r="255" ht="30" customHeight="1">
      <c r="A255" s="43" t="n"/>
      <c r="B255" s="28" t="n"/>
      <c r="C255" s="15" t="n"/>
      <c r="D255" s="40">
        <f>IF($B255="","",IFERROR(VLOOKUP($B255,Triggers!$A$5:$C$40,2,FALSE),"— not a listed event"))</f>
        <v/>
      </c>
      <c r="E255" s="40">
        <f>IF($B255="","",IFERROR(VLOOKUP($B255,Triggers!$A$5:$C$40,3,FALSE),""))</f>
        <v/>
      </c>
      <c r="F255" s="17" t="n"/>
      <c r="G255" s="16" t="n"/>
      <c r="H255" s="16" t="n"/>
      <c r="I255" s="15" t="n"/>
    </row>
    <row r="256" ht="30" customHeight="1">
      <c r="A256" s="50" t="n"/>
      <c r="B256" s="46" t="n"/>
      <c r="C256" s="22" t="n"/>
      <c r="D256" s="47">
        <f>IF($B256="","",IFERROR(VLOOKUP($B256,Triggers!$A$5:$C$40,2,FALSE),"— not a listed event"))</f>
        <v/>
      </c>
      <c r="E256" s="47">
        <f>IF($B256="","",IFERROR(VLOOKUP($B256,Triggers!$A$5:$C$40,3,FALSE),""))</f>
        <v/>
      </c>
      <c r="F256" s="24" t="n"/>
      <c r="G256" s="23" t="n"/>
      <c r="H256" s="23" t="n"/>
      <c r="I256" s="22" t="n"/>
    </row>
    <row r="257" ht="30" customHeight="1">
      <c r="A257" s="43" t="n"/>
      <c r="B257" s="28" t="n"/>
      <c r="C257" s="15" t="n"/>
      <c r="D257" s="40">
        <f>IF($B257="","",IFERROR(VLOOKUP($B257,Triggers!$A$5:$C$40,2,FALSE),"— not a listed event"))</f>
        <v/>
      </c>
      <c r="E257" s="40">
        <f>IF($B257="","",IFERROR(VLOOKUP($B257,Triggers!$A$5:$C$40,3,FALSE),""))</f>
        <v/>
      </c>
      <c r="F257" s="17" t="n"/>
      <c r="G257" s="16" t="n"/>
      <c r="H257" s="16" t="n"/>
      <c r="I257" s="15" t="n"/>
    </row>
    <row r="258" ht="30" customHeight="1">
      <c r="A258" s="50" t="n"/>
      <c r="B258" s="46" t="n"/>
      <c r="C258" s="22" t="n"/>
      <c r="D258" s="47">
        <f>IF($B258="","",IFERROR(VLOOKUP($B258,Triggers!$A$5:$C$40,2,FALSE),"— not a listed event"))</f>
        <v/>
      </c>
      <c r="E258" s="47">
        <f>IF($B258="","",IFERROR(VLOOKUP($B258,Triggers!$A$5:$C$40,3,FALSE),""))</f>
        <v/>
      </c>
      <c r="F258" s="24" t="n"/>
      <c r="G258" s="23" t="n"/>
      <c r="H258" s="23" t="n"/>
      <c r="I258" s="22" t="n"/>
    </row>
    <row r="259" ht="30" customHeight="1">
      <c r="A259" s="43" t="n"/>
      <c r="B259" s="28" t="n"/>
      <c r="C259" s="15" t="n"/>
      <c r="D259" s="40">
        <f>IF($B259="","",IFERROR(VLOOKUP($B259,Triggers!$A$5:$C$40,2,FALSE),"— not a listed event"))</f>
        <v/>
      </c>
      <c r="E259" s="40">
        <f>IF($B259="","",IFERROR(VLOOKUP($B259,Triggers!$A$5:$C$40,3,FALSE),""))</f>
        <v/>
      </c>
      <c r="F259" s="17" t="n"/>
      <c r="G259" s="16" t="n"/>
      <c r="H259" s="16" t="n"/>
      <c r="I259" s="15" t="n"/>
    </row>
    <row r="260" ht="30" customHeight="1">
      <c r="A260" s="50" t="n"/>
      <c r="B260" s="46" t="n"/>
      <c r="C260" s="22" t="n"/>
      <c r="D260" s="47">
        <f>IF($B260="","",IFERROR(VLOOKUP($B260,Triggers!$A$5:$C$40,2,FALSE),"— not a listed event"))</f>
        <v/>
      </c>
      <c r="E260" s="47">
        <f>IF($B260="","",IFERROR(VLOOKUP($B260,Triggers!$A$5:$C$40,3,FALSE),""))</f>
        <v/>
      </c>
      <c r="F260" s="24" t="n"/>
      <c r="G260" s="23" t="n"/>
      <c r="H260" s="23" t="n"/>
      <c r="I260" s="22" t="n"/>
    </row>
    <row r="261" ht="30" customHeight="1">
      <c r="A261" s="43" t="n"/>
      <c r="B261" s="28" t="n"/>
      <c r="C261" s="15" t="n"/>
      <c r="D261" s="40">
        <f>IF($B261="","",IFERROR(VLOOKUP($B261,Triggers!$A$5:$C$40,2,FALSE),"— not a listed event"))</f>
        <v/>
      </c>
      <c r="E261" s="40">
        <f>IF($B261="","",IFERROR(VLOOKUP($B261,Triggers!$A$5:$C$40,3,FALSE),""))</f>
        <v/>
      </c>
      <c r="F261" s="17" t="n"/>
      <c r="G261" s="16" t="n"/>
      <c r="H261" s="16" t="n"/>
      <c r="I261" s="15" t="n"/>
    </row>
    <row r="262" ht="30" customHeight="1">
      <c r="A262" s="50" t="n"/>
      <c r="B262" s="46" t="n"/>
      <c r="C262" s="22" t="n"/>
      <c r="D262" s="47">
        <f>IF($B262="","",IFERROR(VLOOKUP($B262,Triggers!$A$5:$C$40,2,FALSE),"— not a listed event"))</f>
        <v/>
      </c>
      <c r="E262" s="47">
        <f>IF($B262="","",IFERROR(VLOOKUP($B262,Triggers!$A$5:$C$40,3,FALSE),""))</f>
        <v/>
      </c>
      <c r="F262" s="24" t="n"/>
      <c r="G262" s="23" t="n"/>
      <c r="H262" s="23" t="n"/>
      <c r="I262" s="22" t="n"/>
    </row>
    <row r="263" ht="30" customHeight="1">
      <c r="A263" s="43" t="n"/>
      <c r="B263" s="28" t="n"/>
      <c r="C263" s="15" t="n"/>
      <c r="D263" s="40">
        <f>IF($B263="","",IFERROR(VLOOKUP($B263,Triggers!$A$5:$C$40,2,FALSE),"— not a listed event"))</f>
        <v/>
      </c>
      <c r="E263" s="40">
        <f>IF($B263="","",IFERROR(VLOOKUP($B263,Triggers!$A$5:$C$40,3,FALSE),""))</f>
        <v/>
      </c>
      <c r="F263" s="17" t="n"/>
      <c r="G263" s="16" t="n"/>
      <c r="H263" s="16" t="n"/>
      <c r="I263" s="15" t="n"/>
    </row>
    <row r="264" ht="30" customHeight="1">
      <c r="A264" s="50" t="n"/>
      <c r="B264" s="46" t="n"/>
      <c r="C264" s="22" t="n"/>
      <c r="D264" s="47">
        <f>IF($B264="","",IFERROR(VLOOKUP($B264,Triggers!$A$5:$C$40,2,FALSE),"— not a listed event"))</f>
        <v/>
      </c>
      <c r="E264" s="47">
        <f>IF($B264="","",IFERROR(VLOOKUP($B264,Triggers!$A$5:$C$40,3,FALSE),""))</f>
        <v/>
      </c>
      <c r="F264" s="24" t="n"/>
      <c r="G264" s="23" t="n"/>
      <c r="H264" s="23" t="n"/>
      <c r="I264" s="22" t="n"/>
    </row>
    <row r="265" ht="30" customHeight="1">
      <c r="A265" s="43" t="n"/>
      <c r="B265" s="28" t="n"/>
      <c r="C265" s="15" t="n"/>
      <c r="D265" s="40">
        <f>IF($B265="","",IFERROR(VLOOKUP($B265,Triggers!$A$5:$C$40,2,FALSE),"— not a listed event"))</f>
        <v/>
      </c>
      <c r="E265" s="40">
        <f>IF($B265="","",IFERROR(VLOOKUP($B265,Triggers!$A$5:$C$40,3,FALSE),""))</f>
        <v/>
      </c>
      <c r="F265" s="17" t="n"/>
      <c r="G265" s="16" t="n"/>
      <c r="H265" s="16" t="n"/>
      <c r="I265" s="15" t="n"/>
    </row>
    <row r="266" ht="30" customHeight="1">
      <c r="A266" s="50" t="n"/>
      <c r="B266" s="46" t="n"/>
      <c r="C266" s="22" t="n"/>
      <c r="D266" s="47">
        <f>IF($B266="","",IFERROR(VLOOKUP($B266,Triggers!$A$5:$C$40,2,FALSE),"— not a listed event"))</f>
        <v/>
      </c>
      <c r="E266" s="47">
        <f>IF($B266="","",IFERROR(VLOOKUP($B266,Triggers!$A$5:$C$40,3,FALSE),""))</f>
        <v/>
      </c>
      <c r="F266" s="24" t="n"/>
      <c r="G266" s="23" t="n"/>
      <c r="H266" s="23" t="n"/>
      <c r="I266" s="22" t="n"/>
    </row>
    <row r="267" ht="30" customHeight="1">
      <c r="A267" s="43" t="n"/>
      <c r="B267" s="28" t="n"/>
      <c r="C267" s="15" t="n"/>
      <c r="D267" s="40">
        <f>IF($B267="","",IFERROR(VLOOKUP($B267,Triggers!$A$5:$C$40,2,FALSE),"— not a listed event"))</f>
        <v/>
      </c>
      <c r="E267" s="40">
        <f>IF($B267="","",IFERROR(VLOOKUP($B267,Triggers!$A$5:$C$40,3,FALSE),""))</f>
        <v/>
      </c>
      <c r="F267" s="17" t="n"/>
      <c r="G267" s="16" t="n"/>
      <c r="H267" s="16" t="n"/>
      <c r="I267" s="15" t="n"/>
    </row>
    <row r="268" ht="30" customHeight="1">
      <c r="A268" s="50" t="n"/>
      <c r="B268" s="46" t="n"/>
      <c r="C268" s="22" t="n"/>
      <c r="D268" s="47">
        <f>IF($B268="","",IFERROR(VLOOKUP($B268,Triggers!$A$5:$C$40,2,FALSE),"— not a listed event"))</f>
        <v/>
      </c>
      <c r="E268" s="47">
        <f>IF($B268="","",IFERROR(VLOOKUP($B268,Triggers!$A$5:$C$40,3,FALSE),""))</f>
        <v/>
      </c>
      <c r="F268" s="24" t="n"/>
      <c r="G268" s="23" t="n"/>
      <c r="H268" s="23" t="n"/>
      <c r="I268" s="22" t="n"/>
    </row>
    <row r="269" ht="30" customHeight="1">
      <c r="A269" s="43" t="n"/>
      <c r="B269" s="28" t="n"/>
      <c r="C269" s="15" t="n"/>
      <c r="D269" s="40">
        <f>IF($B269="","",IFERROR(VLOOKUP($B269,Triggers!$A$5:$C$40,2,FALSE),"— not a listed event"))</f>
        <v/>
      </c>
      <c r="E269" s="40">
        <f>IF($B269="","",IFERROR(VLOOKUP($B269,Triggers!$A$5:$C$40,3,FALSE),""))</f>
        <v/>
      </c>
      <c r="F269" s="17" t="n"/>
      <c r="G269" s="16" t="n"/>
      <c r="H269" s="16" t="n"/>
      <c r="I269" s="15" t="n"/>
    </row>
    <row r="270" ht="30" customHeight="1">
      <c r="A270" s="50" t="n"/>
      <c r="B270" s="46" t="n"/>
      <c r="C270" s="22" t="n"/>
      <c r="D270" s="47">
        <f>IF($B270="","",IFERROR(VLOOKUP($B270,Triggers!$A$5:$C$40,2,FALSE),"— not a listed event"))</f>
        <v/>
      </c>
      <c r="E270" s="47">
        <f>IF($B270="","",IFERROR(VLOOKUP($B270,Triggers!$A$5:$C$40,3,FALSE),""))</f>
        <v/>
      </c>
      <c r="F270" s="24" t="n"/>
      <c r="G270" s="23" t="n"/>
      <c r="H270" s="23" t="n"/>
      <c r="I270" s="22" t="n"/>
    </row>
    <row r="271" ht="30" customHeight="1">
      <c r="A271" s="43" t="n"/>
      <c r="B271" s="28" t="n"/>
      <c r="C271" s="15" t="n"/>
      <c r="D271" s="40">
        <f>IF($B271="","",IFERROR(VLOOKUP($B271,Triggers!$A$5:$C$40,2,FALSE),"— not a listed event"))</f>
        <v/>
      </c>
      <c r="E271" s="40">
        <f>IF($B271="","",IFERROR(VLOOKUP($B271,Triggers!$A$5:$C$40,3,FALSE),""))</f>
        <v/>
      </c>
      <c r="F271" s="17" t="n"/>
      <c r="G271" s="16" t="n"/>
      <c r="H271" s="16" t="n"/>
      <c r="I271" s="15" t="n"/>
    </row>
    <row r="272" ht="30" customHeight="1">
      <c r="A272" s="50" t="n"/>
      <c r="B272" s="46" t="n"/>
      <c r="C272" s="22" t="n"/>
      <c r="D272" s="47">
        <f>IF($B272="","",IFERROR(VLOOKUP($B272,Triggers!$A$5:$C$40,2,FALSE),"— not a listed event"))</f>
        <v/>
      </c>
      <c r="E272" s="47">
        <f>IF($B272="","",IFERROR(VLOOKUP($B272,Triggers!$A$5:$C$40,3,FALSE),""))</f>
        <v/>
      </c>
      <c r="F272" s="24" t="n"/>
      <c r="G272" s="23" t="n"/>
      <c r="H272" s="23" t="n"/>
      <c r="I272" s="22" t="n"/>
    </row>
    <row r="273" ht="30" customHeight="1">
      <c r="A273" s="43" t="n"/>
      <c r="B273" s="28" t="n"/>
      <c r="C273" s="15" t="n"/>
      <c r="D273" s="40">
        <f>IF($B273="","",IFERROR(VLOOKUP($B273,Triggers!$A$5:$C$40,2,FALSE),"— not a listed event"))</f>
        <v/>
      </c>
      <c r="E273" s="40">
        <f>IF($B273="","",IFERROR(VLOOKUP($B273,Triggers!$A$5:$C$40,3,FALSE),""))</f>
        <v/>
      </c>
      <c r="F273" s="17" t="n"/>
      <c r="G273" s="16" t="n"/>
      <c r="H273" s="16" t="n"/>
      <c r="I273" s="15" t="n"/>
    </row>
    <row r="274" ht="30" customHeight="1">
      <c r="A274" s="50" t="n"/>
      <c r="B274" s="46" t="n"/>
      <c r="C274" s="22" t="n"/>
      <c r="D274" s="47">
        <f>IF($B274="","",IFERROR(VLOOKUP($B274,Triggers!$A$5:$C$40,2,FALSE),"— not a listed event"))</f>
        <v/>
      </c>
      <c r="E274" s="47">
        <f>IF($B274="","",IFERROR(VLOOKUP($B274,Triggers!$A$5:$C$40,3,FALSE),""))</f>
        <v/>
      </c>
      <c r="F274" s="24" t="n"/>
      <c r="G274" s="23" t="n"/>
      <c r="H274" s="23" t="n"/>
      <c r="I274" s="22" t="n"/>
    </row>
    <row r="275" ht="30" customHeight="1">
      <c r="A275" s="43" t="n"/>
      <c r="B275" s="28" t="n"/>
      <c r="C275" s="15" t="n"/>
      <c r="D275" s="40">
        <f>IF($B275="","",IFERROR(VLOOKUP($B275,Triggers!$A$5:$C$40,2,FALSE),"— not a listed event"))</f>
        <v/>
      </c>
      <c r="E275" s="40">
        <f>IF($B275="","",IFERROR(VLOOKUP($B275,Triggers!$A$5:$C$40,3,FALSE),""))</f>
        <v/>
      </c>
      <c r="F275" s="17" t="n"/>
      <c r="G275" s="16" t="n"/>
      <c r="H275" s="16" t="n"/>
      <c r="I275" s="15" t="n"/>
    </row>
    <row r="276" ht="30" customHeight="1">
      <c r="A276" s="50" t="n"/>
      <c r="B276" s="46" t="n"/>
      <c r="C276" s="22" t="n"/>
      <c r="D276" s="47">
        <f>IF($B276="","",IFERROR(VLOOKUP($B276,Triggers!$A$5:$C$40,2,FALSE),"— not a listed event"))</f>
        <v/>
      </c>
      <c r="E276" s="47">
        <f>IF($B276="","",IFERROR(VLOOKUP($B276,Triggers!$A$5:$C$40,3,FALSE),""))</f>
        <v/>
      </c>
      <c r="F276" s="24" t="n"/>
      <c r="G276" s="23" t="n"/>
      <c r="H276" s="23" t="n"/>
      <c r="I276" s="22" t="n"/>
    </row>
    <row r="277" ht="30" customHeight="1">
      <c r="A277" s="43" t="n"/>
      <c r="B277" s="28" t="n"/>
      <c r="C277" s="15" t="n"/>
      <c r="D277" s="40">
        <f>IF($B277="","",IFERROR(VLOOKUP($B277,Triggers!$A$5:$C$40,2,FALSE),"— not a listed event"))</f>
        <v/>
      </c>
      <c r="E277" s="40">
        <f>IF($B277="","",IFERROR(VLOOKUP($B277,Triggers!$A$5:$C$40,3,FALSE),""))</f>
        <v/>
      </c>
      <c r="F277" s="17" t="n"/>
      <c r="G277" s="16" t="n"/>
      <c r="H277" s="16" t="n"/>
      <c r="I277" s="15" t="n"/>
    </row>
    <row r="278" ht="30" customHeight="1">
      <c r="A278" s="50" t="n"/>
      <c r="B278" s="46" t="n"/>
      <c r="C278" s="22" t="n"/>
      <c r="D278" s="47">
        <f>IF($B278="","",IFERROR(VLOOKUP($B278,Triggers!$A$5:$C$40,2,FALSE),"— not a listed event"))</f>
        <v/>
      </c>
      <c r="E278" s="47">
        <f>IF($B278="","",IFERROR(VLOOKUP($B278,Triggers!$A$5:$C$40,3,FALSE),""))</f>
        <v/>
      </c>
      <c r="F278" s="24" t="n"/>
      <c r="G278" s="23" t="n"/>
      <c r="H278" s="23" t="n"/>
      <c r="I278" s="22" t="n"/>
    </row>
    <row r="279" ht="30" customHeight="1">
      <c r="A279" s="43" t="n"/>
      <c r="B279" s="28" t="n"/>
      <c r="C279" s="15" t="n"/>
      <c r="D279" s="40">
        <f>IF($B279="","",IFERROR(VLOOKUP($B279,Triggers!$A$5:$C$40,2,FALSE),"— not a listed event"))</f>
        <v/>
      </c>
      <c r="E279" s="40">
        <f>IF($B279="","",IFERROR(VLOOKUP($B279,Triggers!$A$5:$C$40,3,FALSE),""))</f>
        <v/>
      </c>
      <c r="F279" s="17" t="n"/>
      <c r="G279" s="16" t="n"/>
      <c r="H279" s="16" t="n"/>
      <c r="I279" s="15" t="n"/>
    </row>
    <row r="280" ht="30" customHeight="1">
      <c r="A280" s="50" t="n"/>
      <c r="B280" s="46" t="n"/>
      <c r="C280" s="22" t="n"/>
      <c r="D280" s="47">
        <f>IF($B280="","",IFERROR(VLOOKUP($B280,Triggers!$A$5:$C$40,2,FALSE),"— not a listed event"))</f>
        <v/>
      </c>
      <c r="E280" s="47">
        <f>IF($B280="","",IFERROR(VLOOKUP($B280,Triggers!$A$5:$C$40,3,FALSE),""))</f>
        <v/>
      </c>
      <c r="F280" s="24" t="n"/>
      <c r="G280" s="23" t="n"/>
      <c r="H280" s="23" t="n"/>
      <c r="I280" s="22" t="n"/>
    </row>
    <row r="281" ht="30" customHeight="1">
      <c r="A281" s="43" t="n"/>
      <c r="B281" s="28" t="n"/>
      <c r="C281" s="15" t="n"/>
      <c r="D281" s="40">
        <f>IF($B281="","",IFERROR(VLOOKUP($B281,Triggers!$A$5:$C$40,2,FALSE),"— not a listed event"))</f>
        <v/>
      </c>
      <c r="E281" s="40">
        <f>IF($B281="","",IFERROR(VLOOKUP($B281,Triggers!$A$5:$C$40,3,FALSE),""))</f>
        <v/>
      </c>
      <c r="F281" s="17" t="n"/>
      <c r="G281" s="16" t="n"/>
      <c r="H281" s="16" t="n"/>
      <c r="I281" s="15" t="n"/>
    </row>
    <row r="282" ht="30" customHeight="1">
      <c r="A282" s="50" t="n"/>
      <c r="B282" s="46" t="n"/>
      <c r="C282" s="22" t="n"/>
      <c r="D282" s="47">
        <f>IF($B282="","",IFERROR(VLOOKUP($B282,Triggers!$A$5:$C$40,2,FALSE),"— not a listed event"))</f>
        <v/>
      </c>
      <c r="E282" s="47">
        <f>IF($B282="","",IFERROR(VLOOKUP($B282,Triggers!$A$5:$C$40,3,FALSE),""))</f>
        <v/>
      </c>
      <c r="F282" s="24" t="n"/>
      <c r="G282" s="23" t="n"/>
      <c r="H282" s="23" t="n"/>
      <c r="I282" s="22" t="n"/>
    </row>
    <row r="283" ht="30" customHeight="1">
      <c r="A283" s="43" t="n"/>
      <c r="B283" s="28" t="n"/>
      <c r="C283" s="15" t="n"/>
      <c r="D283" s="40">
        <f>IF($B283="","",IFERROR(VLOOKUP($B283,Triggers!$A$5:$C$40,2,FALSE),"— not a listed event"))</f>
        <v/>
      </c>
      <c r="E283" s="40">
        <f>IF($B283="","",IFERROR(VLOOKUP($B283,Triggers!$A$5:$C$40,3,FALSE),""))</f>
        <v/>
      </c>
      <c r="F283" s="17" t="n"/>
      <c r="G283" s="16" t="n"/>
      <c r="H283" s="16" t="n"/>
      <c r="I283" s="15" t="n"/>
    </row>
    <row r="284" ht="30" customHeight="1">
      <c r="A284" s="50" t="n"/>
      <c r="B284" s="46" t="n"/>
      <c r="C284" s="22" t="n"/>
      <c r="D284" s="47">
        <f>IF($B284="","",IFERROR(VLOOKUP($B284,Triggers!$A$5:$C$40,2,FALSE),"— not a listed event"))</f>
        <v/>
      </c>
      <c r="E284" s="47">
        <f>IF($B284="","",IFERROR(VLOOKUP($B284,Triggers!$A$5:$C$40,3,FALSE),""))</f>
        <v/>
      </c>
      <c r="F284" s="24" t="n"/>
      <c r="G284" s="23" t="n"/>
      <c r="H284" s="23" t="n"/>
      <c r="I284" s="22" t="n"/>
    </row>
    <row r="285" ht="30" customHeight="1">
      <c r="A285" s="43" t="n"/>
      <c r="B285" s="28" t="n"/>
      <c r="C285" s="15" t="n"/>
      <c r="D285" s="40">
        <f>IF($B285="","",IFERROR(VLOOKUP($B285,Triggers!$A$5:$C$40,2,FALSE),"— not a listed event"))</f>
        <v/>
      </c>
      <c r="E285" s="40">
        <f>IF($B285="","",IFERROR(VLOOKUP($B285,Triggers!$A$5:$C$40,3,FALSE),""))</f>
        <v/>
      </c>
      <c r="F285" s="17" t="n"/>
      <c r="G285" s="16" t="n"/>
      <c r="H285" s="16" t="n"/>
      <c r="I285" s="15" t="n"/>
    </row>
    <row r="286" ht="30" customHeight="1">
      <c r="A286" s="50" t="n"/>
      <c r="B286" s="46" t="n"/>
      <c r="C286" s="22" t="n"/>
      <c r="D286" s="47">
        <f>IF($B286="","",IFERROR(VLOOKUP($B286,Triggers!$A$5:$C$40,2,FALSE),"— not a listed event"))</f>
        <v/>
      </c>
      <c r="E286" s="47">
        <f>IF($B286="","",IFERROR(VLOOKUP($B286,Triggers!$A$5:$C$40,3,FALSE),""))</f>
        <v/>
      </c>
      <c r="F286" s="24" t="n"/>
      <c r="G286" s="23" t="n"/>
      <c r="H286" s="23" t="n"/>
      <c r="I286" s="22" t="n"/>
    </row>
    <row r="287" ht="30" customHeight="1">
      <c r="A287" s="43" t="n"/>
      <c r="B287" s="28" t="n"/>
      <c r="C287" s="15" t="n"/>
      <c r="D287" s="40">
        <f>IF($B287="","",IFERROR(VLOOKUP($B287,Triggers!$A$5:$C$40,2,FALSE),"— not a listed event"))</f>
        <v/>
      </c>
      <c r="E287" s="40">
        <f>IF($B287="","",IFERROR(VLOOKUP($B287,Triggers!$A$5:$C$40,3,FALSE),""))</f>
        <v/>
      </c>
      <c r="F287" s="17" t="n"/>
      <c r="G287" s="16" t="n"/>
      <c r="H287" s="16" t="n"/>
      <c r="I287" s="15" t="n"/>
    </row>
    <row r="288" ht="30" customHeight="1">
      <c r="A288" s="50" t="n"/>
      <c r="B288" s="46" t="n"/>
      <c r="C288" s="22" t="n"/>
      <c r="D288" s="47">
        <f>IF($B288="","",IFERROR(VLOOKUP($B288,Triggers!$A$5:$C$40,2,FALSE),"— not a listed event"))</f>
        <v/>
      </c>
      <c r="E288" s="47">
        <f>IF($B288="","",IFERROR(VLOOKUP($B288,Triggers!$A$5:$C$40,3,FALSE),""))</f>
        <v/>
      </c>
      <c r="F288" s="24" t="n"/>
      <c r="G288" s="23" t="n"/>
      <c r="H288" s="23" t="n"/>
      <c r="I288" s="22" t="n"/>
    </row>
    <row r="289" ht="30" customHeight="1">
      <c r="A289" s="43" t="n"/>
      <c r="B289" s="28" t="n"/>
      <c r="C289" s="15" t="n"/>
      <c r="D289" s="40">
        <f>IF($B289="","",IFERROR(VLOOKUP($B289,Triggers!$A$5:$C$40,2,FALSE),"— not a listed event"))</f>
        <v/>
      </c>
      <c r="E289" s="40">
        <f>IF($B289="","",IFERROR(VLOOKUP($B289,Triggers!$A$5:$C$40,3,FALSE),""))</f>
        <v/>
      </c>
      <c r="F289" s="17" t="n"/>
      <c r="G289" s="16" t="n"/>
      <c r="H289" s="16" t="n"/>
      <c r="I289" s="15" t="n"/>
    </row>
    <row r="290" ht="30" customHeight="1">
      <c r="A290" s="50" t="n"/>
      <c r="B290" s="46" t="n"/>
      <c r="C290" s="22" t="n"/>
      <c r="D290" s="47">
        <f>IF($B290="","",IFERROR(VLOOKUP($B290,Triggers!$A$5:$C$40,2,FALSE),"— not a listed event"))</f>
        <v/>
      </c>
      <c r="E290" s="47">
        <f>IF($B290="","",IFERROR(VLOOKUP($B290,Triggers!$A$5:$C$40,3,FALSE),""))</f>
        <v/>
      </c>
      <c r="F290" s="24" t="n"/>
      <c r="G290" s="23" t="n"/>
      <c r="H290" s="23" t="n"/>
      <c r="I290" s="22" t="n"/>
    </row>
    <row r="291" ht="30" customHeight="1">
      <c r="A291" s="43" t="n"/>
      <c r="B291" s="28" t="n"/>
      <c r="C291" s="15" t="n"/>
      <c r="D291" s="40">
        <f>IF($B291="","",IFERROR(VLOOKUP($B291,Triggers!$A$5:$C$40,2,FALSE),"— not a listed event"))</f>
        <v/>
      </c>
      <c r="E291" s="40">
        <f>IF($B291="","",IFERROR(VLOOKUP($B291,Triggers!$A$5:$C$40,3,FALSE),""))</f>
        <v/>
      </c>
      <c r="F291" s="17" t="n"/>
      <c r="G291" s="16" t="n"/>
      <c r="H291" s="16" t="n"/>
      <c r="I291" s="15" t="n"/>
    </row>
    <row r="292" ht="30" customHeight="1">
      <c r="A292" s="50" t="n"/>
      <c r="B292" s="46" t="n"/>
      <c r="C292" s="22" t="n"/>
      <c r="D292" s="47">
        <f>IF($B292="","",IFERROR(VLOOKUP($B292,Triggers!$A$5:$C$40,2,FALSE),"— not a listed event"))</f>
        <v/>
      </c>
      <c r="E292" s="47">
        <f>IF($B292="","",IFERROR(VLOOKUP($B292,Triggers!$A$5:$C$40,3,FALSE),""))</f>
        <v/>
      </c>
      <c r="F292" s="24" t="n"/>
      <c r="G292" s="23" t="n"/>
      <c r="H292" s="23" t="n"/>
      <c r="I292" s="22" t="n"/>
    </row>
    <row r="293" ht="30" customHeight="1">
      <c r="A293" s="43" t="n"/>
      <c r="B293" s="28" t="n"/>
      <c r="C293" s="15" t="n"/>
      <c r="D293" s="40">
        <f>IF($B293="","",IFERROR(VLOOKUP($B293,Triggers!$A$5:$C$40,2,FALSE),"— not a listed event"))</f>
        <v/>
      </c>
      <c r="E293" s="40">
        <f>IF($B293="","",IFERROR(VLOOKUP($B293,Triggers!$A$5:$C$40,3,FALSE),""))</f>
        <v/>
      </c>
      <c r="F293" s="17" t="n"/>
      <c r="G293" s="16" t="n"/>
      <c r="H293" s="16" t="n"/>
      <c r="I293" s="15" t="n"/>
    </row>
    <row r="294" ht="30" customHeight="1">
      <c r="A294" s="50" t="n"/>
      <c r="B294" s="46" t="n"/>
      <c r="C294" s="22" t="n"/>
      <c r="D294" s="47">
        <f>IF($B294="","",IFERROR(VLOOKUP($B294,Triggers!$A$5:$C$40,2,FALSE),"— not a listed event"))</f>
        <v/>
      </c>
      <c r="E294" s="47">
        <f>IF($B294="","",IFERROR(VLOOKUP($B294,Triggers!$A$5:$C$40,3,FALSE),""))</f>
        <v/>
      </c>
      <c r="F294" s="24" t="n"/>
      <c r="G294" s="23" t="n"/>
      <c r="H294" s="23" t="n"/>
      <c r="I294" s="22" t="n"/>
    </row>
    <row r="295" ht="30" customHeight="1">
      <c r="A295" s="43" t="n"/>
      <c r="B295" s="28" t="n"/>
      <c r="C295" s="15" t="n"/>
      <c r="D295" s="40">
        <f>IF($B295="","",IFERROR(VLOOKUP($B295,Triggers!$A$5:$C$40,2,FALSE),"— not a listed event"))</f>
        <v/>
      </c>
      <c r="E295" s="40">
        <f>IF($B295="","",IFERROR(VLOOKUP($B295,Triggers!$A$5:$C$40,3,FALSE),""))</f>
        <v/>
      </c>
      <c r="F295" s="17" t="n"/>
      <c r="G295" s="16" t="n"/>
      <c r="H295" s="16" t="n"/>
      <c r="I295" s="15" t="n"/>
    </row>
    <row r="296" ht="30" customHeight="1">
      <c r="A296" s="50" t="n"/>
      <c r="B296" s="46" t="n"/>
      <c r="C296" s="22" t="n"/>
      <c r="D296" s="47">
        <f>IF($B296="","",IFERROR(VLOOKUP($B296,Triggers!$A$5:$C$40,2,FALSE),"— not a listed event"))</f>
        <v/>
      </c>
      <c r="E296" s="47">
        <f>IF($B296="","",IFERROR(VLOOKUP($B296,Triggers!$A$5:$C$40,3,FALSE),""))</f>
        <v/>
      </c>
      <c r="F296" s="24" t="n"/>
      <c r="G296" s="23" t="n"/>
      <c r="H296" s="23" t="n"/>
      <c r="I296" s="22" t="n"/>
    </row>
    <row r="297" ht="30" customHeight="1">
      <c r="A297" s="43" t="n"/>
      <c r="B297" s="28" t="n"/>
      <c r="C297" s="15" t="n"/>
      <c r="D297" s="40">
        <f>IF($B297="","",IFERROR(VLOOKUP($B297,Triggers!$A$5:$C$40,2,FALSE),"— not a listed event"))</f>
        <v/>
      </c>
      <c r="E297" s="40">
        <f>IF($B297="","",IFERROR(VLOOKUP($B297,Triggers!$A$5:$C$40,3,FALSE),""))</f>
        <v/>
      </c>
      <c r="F297" s="17" t="n"/>
      <c r="G297" s="16" t="n"/>
      <c r="H297" s="16" t="n"/>
      <c r="I297" s="15" t="n"/>
    </row>
    <row r="298" ht="30" customHeight="1">
      <c r="A298" s="50" t="n"/>
      <c r="B298" s="46" t="n"/>
      <c r="C298" s="22" t="n"/>
      <c r="D298" s="47">
        <f>IF($B298="","",IFERROR(VLOOKUP($B298,Triggers!$A$5:$C$40,2,FALSE),"— not a listed event"))</f>
        <v/>
      </c>
      <c r="E298" s="47">
        <f>IF($B298="","",IFERROR(VLOOKUP($B298,Triggers!$A$5:$C$40,3,FALSE),""))</f>
        <v/>
      </c>
      <c r="F298" s="24" t="n"/>
      <c r="G298" s="23" t="n"/>
      <c r="H298" s="23" t="n"/>
      <c r="I298" s="22" t="n"/>
    </row>
    <row r="299" ht="30" customHeight="1">
      <c r="A299" s="43" t="n"/>
      <c r="B299" s="28" t="n"/>
      <c r="C299" s="15" t="n"/>
      <c r="D299" s="40">
        <f>IF($B299="","",IFERROR(VLOOKUP($B299,Triggers!$A$5:$C$40,2,FALSE),"— not a listed event"))</f>
        <v/>
      </c>
      <c r="E299" s="40">
        <f>IF($B299="","",IFERROR(VLOOKUP($B299,Triggers!$A$5:$C$40,3,FALSE),""))</f>
        <v/>
      </c>
      <c r="F299" s="17" t="n"/>
      <c r="G299" s="16" t="n"/>
      <c r="H299" s="16" t="n"/>
      <c r="I299" s="15" t="n"/>
    </row>
    <row r="300" ht="30" customHeight="1">
      <c r="A300" s="50" t="n"/>
      <c r="B300" s="46" t="n"/>
      <c r="C300" s="22" t="n"/>
      <c r="D300" s="47">
        <f>IF($B300="","",IFERROR(VLOOKUP($B300,Triggers!$A$5:$C$40,2,FALSE),"— not a listed event"))</f>
        <v/>
      </c>
      <c r="E300" s="47">
        <f>IF($B300="","",IFERROR(VLOOKUP($B300,Triggers!$A$5:$C$40,3,FALSE),""))</f>
        <v/>
      </c>
      <c r="F300" s="24" t="n"/>
      <c r="G300" s="23" t="n"/>
      <c r="H300" s="23" t="n"/>
      <c r="I300" s="22" t="n"/>
    </row>
  </sheetData>
  <autoFilter ref="A4:I300"/>
  <mergeCells count="2">
    <mergeCell ref="A1:I1"/>
    <mergeCell ref="A2:I2"/>
  </mergeCells>
  <conditionalFormatting sqref="F5:F3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4">
      <formula>"N/A"</formula>
    </cfRule>
    <cfRule type="cellIs" priority="4" operator="equal" dxfId="5">
      <formula>"Not run"</formula>
    </cfRule>
  </conditionalFormatting>
  <dataValidations count="2">
    <dataValidation sqref="B5:B300" showDropDown="0" showInputMessage="0" showErrorMessage="0" allowBlank="1" type="list">
      <formula1>=Triggers!$A$5:$A$15</formula1>
    </dataValidation>
    <dataValidation sqref="F5:F300" showDropDown="0" showInputMessage="0" showErrorMessage="0" allowBlank="1" type="list">
      <formula1>"Pass,Fail,N/A,Not run"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  <col width="24" customWidth="1" min="3" max="3"/>
  </cols>
  <sheetData>
    <row r="1" ht="24" customHeight="1">
      <c r="A1" s="9" t="inlineStr">
        <is>
          <t>Triggers — the events that call for re-validation</t>
        </is>
      </c>
    </row>
    <row r="2" ht="32" customHeight="1">
      <c r="A2" s="10" t="inlineStr">
        <is>
          <t>Document 25 Table 4.1. The Event list on the Re-validation Log reads from this tab; add a row here to make a new event selectable.</t>
        </is>
      </c>
    </row>
    <row r="3"/>
    <row r="4" ht="32" customHeight="1">
      <c r="A4" s="34" t="inlineStr">
        <is>
          <t>Event</t>
        </is>
      </c>
      <c r="B4" s="34" t="inlineStr">
        <is>
          <t>What to re-run</t>
        </is>
      </c>
      <c r="C4" s="34" t="inlineStr">
        <is>
          <t>Doc 22 Trigger</t>
        </is>
      </c>
    </row>
    <row r="5" ht="30" customHeight="1">
      <c r="A5" s="28" t="inlineStr">
        <is>
          <t>A fact table reloads with new data</t>
        </is>
      </c>
      <c r="B5" s="55" t="inlineStr">
        <is>
          <t>sql/06 first if the county data moved; then the twelve data checks 1–6, 9–14</t>
        </is>
      </c>
      <c r="C5" s="56" t="inlineStr">
        <is>
          <t>Post fact-table reload</t>
        </is>
      </c>
    </row>
    <row r="6" ht="30" customHeight="1">
      <c r="A6" s="46" t="inlineStr">
        <is>
          <t>A measure is edited</t>
        </is>
      </c>
      <c r="B6" s="57" t="inlineStr">
        <is>
          <t>That folder's closing check; every folder whose Depends on names it; any suite check naming it; then republish</t>
        </is>
      </c>
      <c r="C6" s="58" t="inlineStr">
        <is>
          <t>Post measure change</t>
        </is>
      </c>
    </row>
    <row r="7" ht="30" customHeight="1">
      <c r="A7" s="28" t="inlineStr">
        <is>
          <t>A relationship or model setting changes</t>
        </is>
      </c>
      <c r="B7" s="55" t="inlineStr">
        <is>
          <t>Figure 7.1 comparison; check 6; all ten folder closing checks; then the model pass</t>
        </is>
      </c>
      <c r="C7" s="56" t="inlineStr">
        <is>
          <t>Ad hoc</t>
        </is>
      </c>
    </row>
    <row r="8" ht="30" customHeight="1">
      <c r="A8" s="46" t="inlineStr">
        <is>
          <t>RefMappings.xlsx is edited</t>
        </is>
      </c>
      <c r="B8" s="57" t="inlineStr">
        <is>
          <t>Check 5; look for Unmapped in slicers; check 3 if IsAggregate changed</t>
        </is>
      </c>
      <c r="C8" s="58" t="inlineStr">
        <is>
          <t>Ad hoc</t>
        </is>
      </c>
    </row>
    <row r="9" ht="30" customHeight="1">
      <c r="A9" s="28" t="inlineStr">
        <is>
          <t>Census changes its category set</t>
        </is>
      </c>
      <c r="B9" s="55" t="inlineStr">
        <is>
          <t>Doc 02 §3.4 discovery; update Table 3.1 and RefMappings.xlsx; checks 5 and 3</t>
        </is>
      </c>
      <c r="C9" s="56" t="inlineStr">
        <is>
          <t>Ad hoc</t>
        </is>
      </c>
    </row>
    <row r="10" ht="30" customHeight="1">
      <c r="A10" s="46" t="inlineStr">
        <is>
          <t>A report visual is added or changed</t>
        </is>
      </c>
      <c r="B10" s="57" t="inlineStr">
        <is>
          <t>Checks 7 and 8 on that page; any of 9, 11, 14, 15, 16 it carries; 17</t>
        </is>
      </c>
      <c r="C10" s="58" t="inlineStr">
        <is>
          <t>Post report change</t>
        </is>
      </c>
    </row>
    <row r="11" ht="30" customHeight="1">
      <c r="A11" s="28" t="inlineStr">
        <is>
          <t>A theme .json is edited</t>
        </is>
      </c>
      <c r="B11" s="55" t="inlineStr">
        <is>
          <t>Re-apply the theme; the three theme checks in doc 15 §3.3</t>
        </is>
      </c>
      <c r="C11" s="56" t="inlineStr">
        <is>
          <t>Not recorded in doc 22</t>
        </is>
      </c>
    </row>
    <row r="12" ht="30" customHeight="1">
      <c r="A12" s="46" t="inlineStr">
        <is>
          <t>The model is republished</t>
        </is>
      </c>
      <c r="B12" s="57" t="inlineStr">
        <is>
          <t>First refresh succeeds; check 17 on each report</t>
        </is>
      </c>
      <c r="C12" s="58" t="inlineStr">
        <is>
          <t>Pre-publication</t>
        </is>
      </c>
    </row>
    <row r="13" ht="30" customHeight="1">
      <c r="A13" s="28" t="inlineStr">
        <is>
          <t>Before any push to GitHub</t>
        </is>
      </c>
      <c r="B13" s="55" t="inlineStr">
        <is>
          <t>Search for key= and .csv</t>
        </is>
      </c>
      <c r="C13" s="56" t="inlineStr">
        <is>
          <t>Not recorded in doc 22</t>
        </is>
      </c>
    </row>
    <row r="14" ht="16" customHeight="1">
      <c r="A14" s="28" t="inlineStr">
        <is>
          <t>A sql/04, 05 or 06 script is edited</t>
        </is>
      </c>
      <c r="B14" s="55" t="inlineStr">
        <is>
          <t>sql/04 to 06 in order; checks 1, 12 and 13; then the rest of the twelve data checks</t>
        </is>
      </c>
      <c r="C14" s="56" t="inlineStr">
        <is>
          <t>Ad hoc</t>
        </is>
      </c>
    </row>
    <row r="15" ht="29.5" customHeight="1">
      <c r="A15" s="28" t="inlineStr">
        <is>
          <t>A Power Query source query or parameter is edited</t>
        </is>
      </c>
      <c r="B15" s="55" t="inlineStr">
        <is>
          <t>Checks 2, 4 and 6; then 3 and 5</t>
        </is>
      </c>
      <c r="C15" s="56" t="inlineStr">
        <is>
          <t>Ad hoc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2026-09-22T16:37:21Z</dcterms:created>
  <dcterms:modified xmlns:dcterms="http://purl.org/dc/terms/" xmlns:xsi="http://www.w3.org/2001/XMLSchema-instance" xsi:type="dcterms:W3CDTF">2026-09-22T23:07:22Z</dcterms:modified>
</cp:coreProperties>
</file>